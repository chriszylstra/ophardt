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8620" windowHeight="14445"/>
  </bookViews>
  <sheets>
    <sheet name="Dashboard" sheetId="1" r:id="rId1"/>
    <sheet name="Live Data" sheetId="2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E82" i="2" l="1" a="1"/>
  <c r="E82" i="2" s="1"/>
  <c r="E83" i="2" s="1"/>
  <c r="CF82" i="2" l="1"/>
  <c r="BT82" i="2"/>
  <c r="BL82" i="2"/>
  <c r="BD82" i="2"/>
  <c r="AV82" i="2"/>
  <c r="AN82" i="2"/>
  <c r="AJ82" i="2"/>
  <c r="AF82" i="2"/>
  <c r="AB82" i="2"/>
  <c r="X82" i="2"/>
  <c r="T82" i="2"/>
  <c r="P82" i="2"/>
  <c r="L82" i="2"/>
  <c r="L83" i="2" s="1"/>
  <c r="H82" i="2"/>
  <c r="H83" i="2" s="1"/>
  <c r="CE82" i="2"/>
  <c r="CA82" i="2"/>
  <c r="BW82" i="2"/>
  <c r="BS82" i="2"/>
  <c r="BO82" i="2"/>
  <c r="BK82" i="2"/>
  <c r="BG82" i="2"/>
  <c r="BC82" i="2"/>
  <c r="AY82" i="2"/>
  <c r="AU82" i="2"/>
  <c r="AQ82" i="2"/>
  <c r="AM82" i="2"/>
  <c r="AI82" i="2"/>
  <c r="AE82" i="2"/>
  <c r="AA82" i="2"/>
  <c r="W82" i="2"/>
  <c r="S82" i="2"/>
  <c r="O82" i="2"/>
  <c r="O83" i="2" s="1"/>
  <c r="K82" i="2"/>
  <c r="K83" i="2" s="1"/>
  <c r="G82" i="2"/>
  <c r="G83" i="2" s="1"/>
  <c r="CB82" i="2"/>
  <c r="BX82" i="2"/>
  <c r="BP82" i="2"/>
  <c r="BH82" i="2"/>
  <c r="AZ82" i="2"/>
  <c r="AR82" i="2"/>
  <c r="CH82" i="2"/>
  <c r="CD82" i="2"/>
  <c r="BZ82" i="2"/>
  <c r="BV82" i="2"/>
  <c r="BR82" i="2"/>
  <c r="BN82" i="2"/>
  <c r="BJ82" i="2"/>
  <c r="BF82" i="2"/>
  <c r="BB82" i="2"/>
  <c r="AX82" i="2"/>
  <c r="AT82" i="2"/>
  <c r="AP82" i="2"/>
  <c r="AL82" i="2"/>
  <c r="AH82" i="2"/>
  <c r="AD82" i="2"/>
  <c r="Z82" i="2"/>
  <c r="V82" i="2"/>
  <c r="R82" i="2"/>
  <c r="N82" i="2"/>
  <c r="N83" i="2" s="1"/>
  <c r="J82" i="2"/>
  <c r="J83" i="2" s="1"/>
  <c r="F82" i="2"/>
  <c r="F83" i="2" s="1"/>
  <c r="CG82" i="2"/>
  <c r="CC82" i="2"/>
  <c r="BY82" i="2"/>
  <c r="BU82" i="2"/>
  <c r="BQ82" i="2"/>
  <c r="BM82" i="2"/>
  <c r="BI82" i="2"/>
  <c r="BE82" i="2"/>
  <c r="BA82" i="2"/>
  <c r="AW82" i="2"/>
  <c r="AS82" i="2"/>
  <c r="AO82" i="2"/>
  <c r="AK82" i="2"/>
  <c r="AG82" i="2"/>
  <c r="AC82" i="2"/>
  <c r="Y82" i="2"/>
  <c r="U82" i="2"/>
  <c r="Q82" i="2"/>
  <c r="M82" i="2"/>
  <c r="M83" i="2" s="1"/>
  <c r="I82" i="2"/>
  <c r="I83" i="2" s="1"/>
  <c r="E22" i="2" a="1"/>
  <c r="CH22" i="2" s="1"/>
  <c r="A2" i="2" a="1"/>
  <c r="D9" i="2" s="1"/>
  <c r="E12" i="2" a="1"/>
  <c r="CH12" i="2" s="1"/>
  <c r="A12" i="2" a="1"/>
  <c r="D19" i="2" s="1"/>
  <c r="A22" i="2" a="1"/>
  <c r="D29" i="2" s="1"/>
  <c r="E32" i="2" a="1"/>
  <c r="CH32" i="2" s="1"/>
  <c r="E84" i="2" l="1"/>
  <c r="C23" i="2"/>
  <c r="A24" i="2"/>
  <c r="A26" i="2"/>
  <c r="C27" i="2"/>
  <c r="C29" i="2"/>
  <c r="A22" i="2"/>
  <c r="B25" i="2"/>
  <c r="B27" i="2"/>
  <c r="B29" i="2"/>
  <c r="B22" i="2"/>
  <c r="C22" i="2"/>
  <c r="C24" i="2"/>
  <c r="B26" i="2"/>
  <c r="A28" i="2"/>
  <c r="B23" i="2"/>
  <c r="A25" i="2"/>
  <c r="C26" i="2"/>
  <c r="C28" i="2"/>
  <c r="S22" i="2"/>
  <c r="AE22" i="2"/>
  <c r="AM22" i="2"/>
  <c r="AU22" i="2"/>
  <c r="AY22" i="2"/>
  <c r="BC22" i="2"/>
  <c r="BG22" i="2"/>
  <c r="BK22" i="2"/>
  <c r="BO22" i="2"/>
  <c r="BS22" i="2"/>
  <c r="BW22" i="2"/>
  <c r="CA22" i="2"/>
  <c r="CE22" i="2"/>
  <c r="H22" i="2"/>
  <c r="L22" i="2"/>
  <c r="P22" i="2"/>
  <c r="T22" i="2"/>
  <c r="X22" i="2"/>
  <c r="AB22" i="2"/>
  <c r="AF22" i="2"/>
  <c r="AJ22" i="2"/>
  <c r="AN22" i="2"/>
  <c r="AR22" i="2"/>
  <c r="AV22" i="2"/>
  <c r="AZ22" i="2"/>
  <c r="BD22" i="2"/>
  <c r="BH22" i="2"/>
  <c r="BL22" i="2"/>
  <c r="BP22" i="2"/>
  <c r="BT22" i="2"/>
  <c r="BX22" i="2"/>
  <c r="CB22" i="2"/>
  <c r="CF22" i="2"/>
  <c r="K22" i="2"/>
  <c r="W22" i="2"/>
  <c r="AI22" i="2"/>
  <c r="E22" i="2"/>
  <c r="M22" i="2"/>
  <c r="U22" i="2"/>
  <c r="Y22" i="2"/>
  <c r="AC22" i="2"/>
  <c r="AG22" i="2"/>
  <c r="AK22" i="2"/>
  <c r="AO22" i="2"/>
  <c r="AS22" i="2"/>
  <c r="AW22" i="2"/>
  <c r="BA22" i="2"/>
  <c r="BE22" i="2"/>
  <c r="BI22" i="2"/>
  <c r="BM22" i="2"/>
  <c r="BQ22" i="2"/>
  <c r="BU22" i="2"/>
  <c r="BY22" i="2"/>
  <c r="CC22" i="2"/>
  <c r="CG22" i="2"/>
  <c r="G22" i="2"/>
  <c r="O22" i="2"/>
  <c r="AA22" i="2"/>
  <c r="AQ22" i="2"/>
  <c r="I22" i="2"/>
  <c r="Q22" i="2"/>
  <c r="F22" i="2"/>
  <c r="J22" i="2"/>
  <c r="N22" i="2"/>
  <c r="R22" i="2"/>
  <c r="V22" i="2"/>
  <c r="Z22" i="2"/>
  <c r="AD22" i="2"/>
  <c r="AH22" i="2"/>
  <c r="AL22" i="2"/>
  <c r="AP22" i="2"/>
  <c r="AT22" i="2"/>
  <c r="AX22" i="2"/>
  <c r="BB22" i="2"/>
  <c r="BF22" i="2"/>
  <c r="BJ22" i="2"/>
  <c r="BN22" i="2"/>
  <c r="BR22" i="2"/>
  <c r="BV22" i="2"/>
  <c r="BZ22" i="2"/>
  <c r="CD22" i="2"/>
  <c r="A3" i="2"/>
  <c r="A5" i="2"/>
  <c r="A8" i="2"/>
  <c r="B2" i="2"/>
  <c r="B3" i="2"/>
  <c r="B4" i="2"/>
  <c r="B5" i="2"/>
  <c r="B6" i="2"/>
  <c r="B7" i="2"/>
  <c r="B8" i="2"/>
  <c r="B9" i="2"/>
  <c r="A2" i="2"/>
  <c r="A4" i="2"/>
  <c r="A6" i="2"/>
  <c r="A7" i="2"/>
  <c r="A9" i="2"/>
  <c r="C2" i="2"/>
  <c r="C3" i="2"/>
  <c r="C4" i="2"/>
  <c r="C5" i="2"/>
  <c r="C6" i="2"/>
  <c r="C7" i="2"/>
  <c r="C8" i="2"/>
  <c r="C9" i="2"/>
  <c r="D2" i="2"/>
  <c r="D3" i="2"/>
  <c r="D4" i="2"/>
  <c r="D5" i="2"/>
  <c r="D6" i="2"/>
  <c r="D7" i="2"/>
  <c r="D8" i="2"/>
  <c r="G12" i="2"/>
  <c r="O12" i="2"/>
  <c r="S12" i="2"/>
  <c r="W12" i="2"/>
  <c r="AA12" i="2"/>
  <c r="AE12" i="2"/>
  <c r="AI12" i="2"/>
  <c r="AM12" i="2"/>
  <c r="AQ12" i="2"/>
  <c r="AU12" i="2"/>
  <c r="AY12" i="2"/>
  <c r="BC12" i="2"/>
  <c r="BG12" i="2"/>
  <c r="BK12" i="2"/>
  <c r="BO12" i="2"/>
  <c r="BS12" i="2"/>
  <c r="BW12" i="2"/>
  <c r="CA12" i="2"/>
  <c r="CE12" i="2"/>
  <c r="H12" i="2"/>
  <c r="L12" i="2"/>
  <c r="P12" i="2"/>
  <c r="T12" i="2"/>
  <c r="X12" i="2"/>
  <c r="AB12" i="2"/>
  <c r="AF12" i="2"/>
  <c r="AJ12" i="2"/>
  <c r="AN12" i="2"/>
  <c r="AR12" i="2"/>
  <c r="AV12" i="2"/>
  <c r="AZ12" i="2"/>
  <c r="BD12" i="2"/>
  <c r="BH12" i="2"/>
  <c r="BL12" i="2"/>
  <c r="BP12" i="2"/>
  <c r="BT12" i="2"/>
  <c r="BX12" i="2"/>
  <c r="CB12" i="2"/>
  <c r="CF12" i="2"/>
  <c r="K12" i="2"/>
  <c r="E12" i="2"/>
  <c r="I12" i="2"/>
  <c r="M12" i="2"/>
  <c r="M13" i="2" s="1"/>
  <c r="Q12" i="2"/>
  <c r="U12" i="2"/>
  <c r="Y12" i="2"/>
  <c r="AC12" i="2"/>
  <c r="AG12" i="2"/>
  <c r="AK12" i="2"/>
  <c r="AO12" i="2"/>
  <c r="AS12" i="2"/>
  <c r="AW12" i="2"/>
  <c r="BA12" i="2"/>
  <c r="BE12" i="2"/>
  <c r="BI12" i="2"/>
  <c r="BM12" i="2"/>
  <c r="BQ12" i="2"/>
  <c r="BU12" i="2"/>
  <c r="BY12" i="2"/>
  <c r="CC12" i="2"/>
  <c r="CG12" i="2"/>
  <c r="F12" i="2"/>
  <c r="J12" i="2"/>
  <c r="N12" i="2"/>
  <c r="R12" i="2"/>
  <c r="V12" i="2"/>
  <c r="Z12" i="2"/>
  <c r="AD12" i="2"/>
  <c r="AH12" i="2"/>
  <c r="AL12" i="2"/>
  <c r="AP12" i="2"/>
  <c r="AT12" i="2"/>
  <c r="AX12" i="2"/>
  <c r="BB12" i="2"/>
  <c r="BF12" i="2"/>
  <c r="BJ12" i="2"/>
  <c r="BN12" i="2"/>
  <c r="BR12" i="2"/>
  <c r="BV12" i="2"/>
  <c r="BZ12" i="2"/>
  <c r="CD12" i="2"/>
  <c r="A12" i="2"/>
  <c r="C6" i="1" s="1"/>
  <c r="A13" i="2"/>
  <c r="A14" i="2"/>
  <c r="A15" i="2"/>
  <c r="A16" i="2"/>
  <c r="A17" i="2"/>
  <c r="A18" i="2"/>
  <c r="A19" i="2"/>
  <c r="B12" i="2"/>
  <c r="B13" i="2"/>
  <c r="B14" i="2"/>
  <c r="B15" i="2"/>
  <c r="B16" i="2"/>
  <c r="B17" i="2"/>
  <c r="B18" i="2"/>
  <c r="B19" i="2"/>
  <c r="C12" i="2"/>
  <c r="C13" i="2"/>
  <c r="C14" i="2"/>
  <c r="C15" i="2"/>
  <c r="C16" i="2"/>
  <c r="C17" i="2"/>
  <c r="C18" i="2"/>
  <c r="C19" i="2"/>
  <c r="D12" i="2"/>
  <c r="D13" i="2"/>
  <c r="D14" i="2"/>
  <c r="D15" i="2"/>
  <c r="D16" i="2"/>
  <c r="D17" i="2"/>
  <c r="D18" i="2"/>
  <c r="A23" i="2"/>
  <c r="B24" i="2"/>
  <c r="C25" i="2"/>
  <c r="A27" i="2"/>
  <c r="B28" i="2"/>
  <c r="A29" i="2"/>
  <c r="D22" i="2"/>
  <c r="D23" i="2"/>
  <c r="D24" i="2"/>
  <c r="D25" i="2"/>
  <c r="D26" i="2"/>
  <c r="D27" i="2"/>
  <c r="D28" i="2"/>
  <c r="G32" i="2"/>
  <c r="O32" i="2"/>
  <c r="W32" i="2"/>
  <c r="AE32" i="2"/>
  <c r="AM32" i="2"/>
  <c r="AU32" i="2"/>
  <c r="BC32" i="2"/>
  <c r="BK32" i="2"/>
  <c r="CA32" i="2"/>
  <c r="H32" i="2"/>
  <c r="P32" i="2"/>
  <c r="T32" i="2"/>
  <c r="AB32" i="2"/>
  <c r="AF32" i="2"/>
  <c r="AJ32" i="2"/>
  <c r="AN32" i="2"/>
  <c r="AR32" i="2"/>
  <c r="AV32" i="2"/>
  <c r="AZ32" i="2"/>
  <c r="BD32" i="2"/>
  <c r="BH32" i="2"/>
  <c r="BL32" i="2"/>
  <c r="BP32" i="2"/>
  <c r="BT32" i="2"/>
  <c r="BX32" i="2"/>
  <c r="CB32" i="2"/>
  <c r="CF32" i="2"/>
  <c r="L32" i="2"/>
  <c r="X32" i="2"/>
  <c r="E32" i="2"/>
  <c r="I32" i="2"/>
  <c r="M32" i="2"/>
  <c r="M33" i="2" s="1"/>
  <c r="Q32" i="2"/>
  <c r="U32" i="2"/>
  <c r="Y32" i="2"/>
  <c r="AC32" i="2"/>
  <c r="AG32" i="2"/>
  <c r="AK32" i="2"/>
  <c r="AO32" i="2"/>
  <c r="AS32" i="2"/>
  <c r="AW32" i="2"/>
  <c r="BA32" i="2"/>
  <c r="BE32" i="2"/>
  <c r="BI32" i="2"/>
  <c r="BM32" i="2"/>
  <c r="BQ32" i="2"/>
  <c r="BU32" i="2"/>
  <c r="BY32" i="2"/>
  <c r="CC32" i="2"/>
  <c r="CG32" i="2"/>
  <c r="K32" i="2"/>
  <c r="S32" i="2"/>
  <c r="AA32" i="2"/>
  <c r="AI32" i="2"/>
  <c r="AQ32" i="2"/>
  <c r="AY32" i="2"/>
  <c r="BG32" i="2"/>
  <c r="BO32" i="2"/>
  <c r="BS32" i="2"/>
  <c r="BW32" i="2"/>
  <c r="CE32" i="2"/>
  <c r="F32" i="2"/>
  <c r="J32" i="2"/>
  <c r="N32" i="2"/>
  <c r="R32" i="2"/>
  <c r="V32" i="2"/>
  <c r="Z32" i="2"/>
  <c r="AD32" i="2"/>
  <c r="AH32" i="2"/>
  <c r="AL32" i="2"/>
  <c r="AP32" i="2"/>
  <c r="AT32" i="2"/>
  <c r="AX32" i="2"/>
  <c r="BB32" i="2"/>
  <c r="BF32" i="2"/>
  <c r="BJ32" i="2"/>
  <c r="BN32" i="2"/>
  <c r="BR32" i="2"/>
  <c r="BV32" i="2"/>
  <c r="BZ32" i="2"/>
  <c r="CD32" i="2"/>
  <c r="E92" i="2" l="1" a="1"/>
  <c r="E92" i="2" s="1"/>
  <c r="E93" i="2" s="1"/>
  <c r="A92" i="2" a="1"/>
  <c r="A92" i="2" s="1"/>
  <c r="A82" i="2" a="1"/>
  <c r="A82" i="2" s="1"/>
  <c r="CF92" i="2" l="1"/>
  <c r="CF93" i="2" s="1"/>
  <c r="CB92" i="2"/>
  <c r="CB93" i="2" s="1"/>
  <c r="BX92" i="2"/>
  <c r="BX93" i="2" s="1"/>
  <c r="BT92" i="2"/>
  <c r="BT93" i="2" s="1"/>
  <c r="BP92" i="2"/>
  <c r="BP93" i="2" s="1"/>
  <c r="BL92" i="2"/>
  <c r="BL93" i="2" s="1"/>
  <c r="BH92" i="2"/>
  <c r="BH93" i="2" s="1"/>
  <c r="BD92" i="2"/>
  <c r="BD93" i="2" s="1"/>
  <c r="AZ92" i="2"/>
  <c r="AZ93" i="2" s="1"/>
  <c r="AV92" i="2"/>
  <c r="AV93" i="2" s="1"/>
  <c r="AR92" i="2"/>
  <c r="AR93" i="2" s="1"/>
  <c r="AN92" i="2"/>
  <c r="AN93" i="2" s="1"/>
  <c r="AJ92" i="2"/>
  <c r="AJ93" i="2" s="1"/>
  <c r="AF92" i="2"/>
  <c r="AF93" i="2" s="1"/>
  <c r="AB92" i="2"/>
  <c r="AB93" i="2" s="1"/>
  <c r="X92" i="2"/>
  <c r="X93" i="2" s="1"/>
  <c r="T92" i="2"/>
  <c r="T93" i="2" s="1"/>
  <c r="P92" i="2"/>
  <c r="P93" i="2" s="1"/>
  <c r="L92" i="2"/>
  <c r="L93" i="2" s="1"/>
  <c r="H92" i="2"/>
  <c r="H93" i="2" s="1"/>
  <c r="CE92" i="2"/>
  <c r="CE93" i="2" s="1"/>
  <c r="CA92" i="2"/>
  <c r="CA93" i="2" s="1"/>
  <c r="BW92" i="2"/>
  <c r="BW93" i="2" s="1"/>
  <c r="BS92" i="2"/>
  <c r="BS93" i="2" s="1"/>
  <c r="BO92" i="2"/>
  <c r="BO93" i="2" s="1"/>
  <c r="BK92" i="2"/>
  <c r="BK93" i="2" s="1"/>
  <c r="BG92" i="2"/>
  <c r="BG93" i="2" s="1"/>
  <c r="BC92" i="2"/>
  <c r="BC93" i="2" s="1"/>
  <c r="AY92" i="2"/>
  <c r="AY93" i="2" s="1"/>
  <c r="AU92" i="2"/>
  <c r="AU93" i="2" s="1"/>
  <c r="AQ92" i="2"/>
  <c r="AQ93" i="2" s="1"/>
  <c r="AM92" i="2"/>
  <c r="AM93" i="2" s="1"/>
  <c r="AI92" i="2"/>
  <c r="AI93" i="2" s="1"/>
  <c r="AE92" i="2"/>
  <c r="AE93" i="2" s="1"/>
  <c r="AA92" i="2"/>
  <c r="AA93" i="2" s="1"/>
  <c r="W92" i="2"/>
  <c r="W93" i="2" s="1"/>
  <c r="S92" i="2"/>
  <c r="S93" i="2" s="1"/>
  <c r="O92" i="2"/>
  <c r="O93" i="2" s="1"/>
  <c r="K92" i="2"/>
  <c r="K93" i="2" s="1"/>
  <c r="G92" i="2"/>
  <c r="G93" i="2" s="1"/>
  <c r="CH92" i="2"/>
  <c r="CH93" i="2" s="1"/>
  <c r="CD92" i="2"/>
  <c r="CD93" i="2" s="1"/>
  <c r="BZ92" i="2"/>
  <c r="BZ93" i="2" s="1"/>
  <c r="BV92" i="2"/>
  <c r="BV93" i="2" s="1"/>
  <c r="BR92" i="2"/>
  <c r="BR93" i="2" s="1"/>
  <c r="BN92" i="2"/>
  <c r="BN93" i="2" s="1"/>
  <c r="BJ92" i="2"/>
  <c r="BJ93" i="2" s="1"/>
  <c r="BF92" i="2"/>
  <c r="BF93" i="2" s="1"/>
  <c r="BB92" i="2"/>
  <c r="BB93" i="2" s="1"/>
  <c r="AX92" i="2"/>
  <c r="AX93" i="2" s="1"/>
  <c r="AT92" i="2"/>
  <c r="AT93" i="2" s="1"/>
  <c r="AP92" i="2"/>
  <c r="AP93" i="2" s="1"/>
  <c r="AL92" i="2"/>
  <c r="AL93" i="2" s="1"/>
  <c r="AH92" i="2"/>
  <c r="AH93" i="2" s="1"/>
  <c r="AD92" i="2"/>
  <c r="AD93" i="2" s="1"/>
  <c r="Z92" i="2"/>
  <c r="Z93" i="2" s="1"/>
  <c r="V92" i="2"/>
  <c r="V93" i="2" s="1"/>
  <c r="R92" i="2"/>
  <c r="R93" i="2" s="1"/>
  <c r="N92" i="2"/>
  <c r="N93" i="2" s="1"/>
  <c r="J92" i="2"/>
  <c r="J93" i="2" s="1"/>
  <c r="F92" i="2"/>
  <c r="F93" i="2" s="1"/>
  <c r="CG92" i="2"/>
  <c r="CG93" i="2" s="1"/>
  <c r="CC92" i="2"/>
  <c r="CC93" i="2" s="1"/>
  <c r="BY92" i="2"/>
  <c r="BY93" i="2" s="1"/>
  <c r="BU92" i="2"/>
  <c r="BU93" i="2" s="1"/>
  <c r="BQ92" i="2"/>
  <c r="BQ93" i="2" s="1"/>
  <c r="BM92" i="2"/>
  <c r="BM93" i="2" s="1"/>
  <c r="BI92" i="2"/>
  <c r="BI93" i="2" s="1"/>
  <c r="BE92" i="2"/>
  <c r="BE93" i="2" s="1"/>
  <c r="BA92" i="2"/>
  <c r="BA93" i="2" s="1"/>
  <c r="AW92" i="2"/>
  <c r="AW93" i="2" s="1"/>
  <c r="AS92" i="2"/>
  <c r="AS93" i="2" s="1"/>
  <c r="AO92" i="2"/>
  <c r="AO93" i="2" s="1"/>
  <c r="AK92" i="2"/>
  <c r="AK93" i="2" s="1"/>
  <c r="AG92" i="2"/>
  <c r="AG93" i="2" s="1"/>
  <c r="AC92" i="2"/>
  <c r="AC93" i="2" s="1"/>
  <c r="Y92" i="2"/>
  <c r="Y93" i="2" s="1"/>
  <c r="U92" i="2"/>
  <c r="U93" i="2" s="1"/>
  <c r="Q92" i="2"/>
  <c r="Q93" i="2" s="1"/>
  <c r="M92" i="2"/>
  <c r="M93" i="2" s="1"/>
  <c r="I92" i="2"/>
  <c r="I93" i="2" s="1"/>
  <c r="D99" i="2"/>
  <c r="D98" i="2"/>
  <c r="P33" i="1" s="1"/>
  <c r="D97" i="2"/>
  <c r="D96" i="2"/>
  <c r="E33" i="1" s="1"/>
  <c r="D95" i="2"/>
  <c r="O33" i="1" s="1"/>
  <c r="D94" i="2"/>
  <c r="D93" i="2"/>
  <c r="F33" i="1" s="1"/>
  <c r="D92" i="2"/>
  <c r="C99" i="2"/>
  <c r="C98" i="2"/>
  <c r="P32" i="1" s="1"/>
  <c r="C97" i="2"/>
  <c r="C96" i="2"/>
  <c r="E32" i="1" s="1"/>
  <c r="C95" i="2"/>
  <c r="O32" i="1" s="1"/>
  <c r="C94" i="2"/>
  <c r="C93" i="2"/>
  <c r="F32" i="1" s="1"/>
  <c r="C92" i="2"/>
  <c r="B99" i="2"/>
  <c r="B98" i="2"/>
  <c r="O31" i="1" s="1"/>
  <c r="B97" i="2"/>
  <c r="B96" i="2"/>
  <c r="F31" i="1" s="1"/>
  <c r="B95" i="2"/>
  <c r="P31" i="1" s="1"/>
  <c r="B94" i="2"/>
  <c r="B93" i="2"/>
  <c r="E31" i="1" s="1"/>
  <c r="B92" i="2"/>
  <c r="A99" i="2"/>
  <c r="A98" i="2"/>
  <c r="O30" i="1" s="1"/>
  <c r="A97" i="2"/>
  <c r="A96" i="2"/>
  <c r="F30" i="1" s="1"/>
  <c r="A95" i="2"/>
  <c r="P30" i="1" s="1"/>
  <c r="A94" i="2"/>
  <c r="A93" i="2"/>
  <c r="E30" i="1" s="1"/>
  <c r="D89" i="2"/>
  <c r="D88" i="2"/>
  <c r="D87" i="2"/>
  <c r="D86" i="2"/>
  <c r="D85" i="2"/>
  <c r="D84" i="2"/>
  <c r="D83" i="2"/>
  <c r="D82" i="2"/>
  <c r="C89" i="2"/>
  <c r="C88" i="2"/>
  <c r="C87" i="2"/>
  <c r="C86" i="2"/>
  <c r="C85" i="2"/>
  <c r="C84" i="2"/>
  <c r="C83" i="2"/>
  <c r="C82" i="2"/>
  <c r="B89" i="2"/>
  <c r="B88" i="2"/>
  <c r="B87" i="2"/>
  <c r="B86" i="2"/>
  <c r="B85" i="2"/>
  <c r="B84" i="2"/>
  <c r="P29" i="1" s="1"/>
  <c r="B83" i="2"/>
  <c r="O29" i="1" s="1"/>
  <c r="B82" i="2"/>
  <c r="A89" i="2"/>
  <c r="A88" i="2"/>
  <c r="A87" i="2"/>
  <c r="A86" i="2"/>
  <c r="A85" i="2"/>
  <c r="A84" i="2"/>
  <c r="E29" i="1" s="1"/>
  <c r="A83" i="2"/>
  <c r="F29" i="1" s="1"/>
  <c r="E72" i="2" a="1"/>
  <c r="E72" i="2" s="1"/>
  <c r="E73" i="2" s="1"/>
  <c r="A72" i="2" a="1"/>
  <c r="A72" i="2" s="1"/>
  <c r="E62" i="2" a="1"/>
  <c r="E62" i="2" s="1"/>
  <c r="E63" i="2" s="1"/>
  <c r="A62" i="2" a="1"/>
  <c r="A62" i="2" s="1"/>
  <c r="C19" i="1" s="1"/>
  <c r="A52" i="2" a="1"/>
  <c r="A52" i="2" s="1"/>
  <c r="C16" i="1" s="1"/>
  <c r="E52" i="2" a="1"/>
  <c r="G52" i="2" s="1"/>
  <c r="G53" i="2" s="1"/>
  <c r="E42" i="2" a="1"/>
  <c r="E42" i="2" s="1"/>
  <c r="E43" i="2" s="1"/>
  <c r="A42" i="2" a="1"/>
  <c r="A42" i="2" s="1"/>
  <c r="F33" i="2"/>
  <c r="A32" i="2" a="1"/>
  <c r="A32" i="2" s="1"/>
  <c r="C12" i="1" s="1"/>
  <c r="E23" i="2"/>
  <c r="C7" i="1"/>
  <c r="E13" i="2"/>
  <c r="E2" i="2" a="1"/>
  <c r="F2" i="2" s="1"/>
  <c r="F3" i="2" s="1"/>
  <c r="C2" i="1"/>
  <c r="C25" i="1" l="1"/>
  <c r="C21" i="1"/>
  <c r="Q29" i="1"/>
  <c r="Q30" i="1"/>
  <c r="Q31" i="1"/>
  <c r="R32" i="1"/>
  <c r="R33" i="1"/>
  <c r="CF62" i="2"/>
  <c r="CF63" i="2" s="1"/>
  <c r="R29" i="1"/>
  <c r="R30" i="1"/>
  <c r="R31" i="1"/>
  <c r="Q32" i="1"/>
  <c r="Q33" i="1"/>
  <c r="E94" i="2"/>
  <c r="B30" i="1" s="1"/>
  <c r="D79" i="2"/>
  <c r="BP62" i="2"/>
  <c r="BP63" i="2" s="1"/>
  <c r="AZ62" i="2"/>
  <c r="AZ63" i="2" s="1"/>
  <c r="D75" i="2"/>
  <c r="T62" i="2"/>
  <c r="T63" i="2" s="1"/>
  <c r="AJ62" i="2"/>
  <c r="AJ63" i="2" s="1"/>
  <c r="D78" i="2"/>
  <c r="C22" i="1"/>
  <c r="C26" i="1"/>
  <c r="C23" i="1"/>
  <c r="C27" i="1"/>
  <c r="C24" i="1"/>
  <c r="C28" i="1"/>
  <c r="CD62" i="2"/>
  <c r="CD63" i="2" s="1"/>
  <c r="BN62" i="2"/>
  <c r="BN63" i="2" s="1"/>
  <c r="AX62" i="2"/>
  <c r="AX63" i="2" s="1"/>
  <c r="AH62" i="2"/>
  <c r="AH63" i="2" s="1"/>
  <c r="R62" i="2"/>
  <c r="R63" i="2" s="1"/>
  <c r="D74" i="2"/>
  <c r="BX62" i="2"/>
  <c r="BX63" i="2" s="1"/>
  <c r="BH62" i="2"/>
  <c r="BH63" i="2" s="1"/>
  <c r="AR62" i="2"/>
  <c r="AR63" i="2" s="1"/>
  <c r="AB62" i="2"/>
  <c r="AB63" i="2" s="1"/>
  <c r="L62" i="2"/>
  <c r="L63" i="2" s="1"/>
  <c r="BV62" i="2"/>
  <c r="BV63" i="2" s="1"/>
  <c r="BF62" i="2"/>
  <c r="BF63" i="2" s="1"/>
  <c r="AP62" i="2"/>
  <c r="AP63" i="2" s="1"/>
  <c r="Z62" i="2"/>
  <c r="Z63" i="2" s="1"/>
  <c r="J62" i="2"/>
  <c r="J63" i="2" s="1"/>
  <c r="D69" i="2"/>
  <c r="D66" i="2"/>
  <c r="B64" i="2"/>
  <c r="E18" i="1" s="1"/>
  <c r="A57" i="2"/>
  <c r="B68" i="2"/>
  <c r="D65" i="2"/>
  <c r="D62" i="2"/>
  <c r="D67" i="2"/>
  <c r="D64" i="2"/>
  <c r="E20" i="1" s="1"/>
  <c r="B62" i="2"/>
  <c r="C20" i="1"/>
  <c r="A59" i="2"/>
  <c r="D68" i="2"/>
  <c r="B66" i="2"/>
  <c r="D63" i="2"/>
  <c r="F20" i="1" s="1"/>
  <c r="C14" i="1"/>
  <c r="C13" i="1"/>
  <c r="T23" i="2"/>
  <c r="C11" i="1"/>
  <c r="A53" i="2"/>
  <c r="B69" i="2"/>
  <c r="B67" i="2"/>
  <c r="B65" i="2"/>
  <c r="B63" i="2"/>
  <c r="F18" i="1" s="1"/>
  <c r="CH62" i="2"/>
  <c r="CH63" i="2" s="1"/>
  <c r="BZ62" i="2"/>
  <c r="BZ63" i="2" s="1"/>
  <c r="BR62" i="2"/>
  <c r="BR63" i="2" s="1"/>
  <c r="BJ62" i="2"/>
  <c r="BJ63" i="2" s="1"/>
  <c r="BB62" i="2"/>
  <c r="BB63" i="2" s="1"/>
  <c r="AT62" i="2"/>
  <c r="AT63" i="2" s="1"/>
  <c r="AL62" i="2"/>
  <c r="AL63" i="2" s="1"/>
  <c r="AD62" i="2"/>
  <c r="AD63" i="2" s="1"/>
  <c r="V62" i="2"/>
  <c r="V63" i="2" s="1"/>
  <c r="N62" i="2"/>
  <c r="N63" i="2" s="1"/>
  <c r="F62" i="2"/>
  <c r="F63" i="2" s="1"/>
  <c r="C18" i="1"/>
  <c r="D76" i="2"/>
  <c r="N24" i="1" s="1"/>
  <c r="D72" i="2"/>
  <c r="C17" i="1"/>
  <c r="A55" i="2"/>
  <c r="CB62" i="2"/>
  <c r="CB63" i="2" s="1"/>
  <c r="BT62" i="2"/>
  <c r="BT63" i="2" s="1"/>
  <c r="BL62" i="2"/>
  <c r="BL63" i="2" s="1"/>
  <c r="BD62" i="2"/>
  <c r="BD63" i="2" s="1"/>
  <c r="AV62" i="2"/>
  <c r="AV63" i="2" s="1"/>
  <c r="AN62" i="2"/>
  <c r="AN63" i="2" s="1"/>
  <c r="AF62" i="2"/>
  <c r="AF63" i="2" s="1"/>
  <c r="X62" i="2"/>
  <c r="X63" i="2" s="1"/>
  <c r="P62" i="2"/>
  <c r="P63" i="2" s="1"/>
  <c r="H62" i="2"/>
  <c r="H63" i="2" s="1"/>
  <c r="D77" i="2"/>
  <c r="N28" i="1" s="1"/>
  <c r="D73" i="2"/>
  <c r="BP72" i="2"/>
  <c r="BP73" i="2" s="1"/>
  <c r="AJ72" i="2"/>
  <c r="AJ73" i="2" s="1"/>
  <c r="BL72" i="2"/>
  <c r="BL73" i="2" s="1"/>
  <c r="AF72" i="2"/>
  <c r="AF73" i="2" s="1"/>
  <c r="CF72" i="2"/>
  <c r="CF73" i="2" s="1"/>
  <c r="AZ72" i="2"/>
  <c r="AZ73" i="2" s="1"/>
  <c r="T72" i="2"/>
  <c r="T73" i="2" s="1"/>
  <c r="CB72" i="2"/>
  <c r="CB73" i="2" s="1"/>
  <c r="AV72" i="2"/>
  <c r="AV73" i="2" s="1"/>
  <c r="P72" i="2"/>
  <c r="P73" i="2" s="1"/>
  <c r="BX72" i="2"/>
  <c r="BX73" i="2" s="1"/>
  <c r="BH72" i="2"/>
  <c r="BH73" i="2" s="1"/>
  <c r="AR72" i="2"/>
  <c r="AR73" i="2" s="1"/>
  <c r="AB72" i="2"/>
  <c r="AB73" i="2" s="1"/>
  <c r="L72" i="2"/>
  <c r="L73" i="2" s="1"/>
  <c r="BT72" i="2"/>
  <c r="BT73" i="2" s="1"/>
  <c r="BD72" i="2"/>
  <c r="BD73" i="2" s="1"/>
  <c r="AN72" i="2"/>
  <c r="AN73" i="2" s="1"/>
  <c r="X72" i="2"/>
  <c r="X73" i="2" s="1"/>
  <c r="H72" i="2"/>
  <c r="H73" i="2" s="1"/>
  <c r="CE72" i="2"/>
  <c r="CE73" i="2" s="1"/>
  <c r="CA72" i="2"/>
  <c r="CA73" i="2" s="1"/>
  <c r="BW72" i="2"/>
  <c r="BW73" i="2" s="1"/>
  <c r="BS72" i="2"/>
  <c r="BS73" i="2" s="1"/>
  <c r="BO72" i="2"/>
  <c r="BO73" i="2" s="1"/>
  <c r="BK72" i="2"/>
  <c r="BK73" i="2" s="1"/>
  <c r="BG72" i="2"/>
  <c r="BG73" i="2" s="1"/>
  <c r="BC72" i="2"/>
  <c r="BC73" i="2" s="1"/>
  <c r="AY72" i="2"/>
  <c r="AY73" i="2" s="1"/>
  <c r="AU72" i="2"/>
  <c r="AU73" i="2" s="1"/>
  <c r="AQ72" i="2"/>
  <c r="AQ73" i="2" s="1"/>
  <c r="AM72" i="2"/>
  <c r="AM73" i="2" s="1"/>
  <c r="AI72" i="2"/>
  <c r="AI73" i="2" s="1"/>
  <c r="AE72" i="2"/>
  <c r="AE73" i="2" s="1"/>
  <c r="AA72" i="2"/>
  <c r="AA73" i="2" s="1"/>
  <c r="W72" i="2"/>
  <c r="W73" i="2" s="1"/>
  <c r="S72" i="2"/>
  <c r="S73" i="2" s="1"/>
  <c r="O72" i="2"/>
  <c r="O73" i="2" s="1"/>
  <c r="K72" i="2"/>
  <c r="K73" i="2" s="1"/>
  <c r="G72" i="2"/>
  <c r="G73" i="2" s="1"/>
  <c r="CH72" i="2"/>
  <c r="CH73" i="2" s="1"/>
  <c r="CD72" i="2"/>
  <c r="CD73" i="2" s="1"/>
  <c r="BZ72" i="2"/>
  <c r="BZ73" i="2" s="1"/>
  <c r="BV72" i="2"/>
  <c r="BV73" i="2" s="1"/>
  <c r="BR72" i="2"/>
  <c r="BR73" i="2" s="1"/>
  <c r="BN72" i="2"/>
  <c r="BN73" i="2" s="1"/>
  <c r="BJ72" i="2"/>
  <c r="BJ73" i="2" s="1"/>
  <c r="BF72" i="2"/>
  <c r="BF73" i="2" s="1"/>
  <c r="BB72" i="2"/>
  <c r="BB73" i="2" s="1"/>
  <c r="AX72" i="2"/>
  <c r="AX73" i="2" s="1"/>
  <c r="AT72" i="2"/>
  <c r="AT73" i="2" s="1"/>
  <c r="AP72" i="2"/>
  <c r="AP73" i="2" s="1"/>
  <c r="AL72" i="2"/>
  <c r="AL73" i="2" s="1"/>
  <c r="AH72" i="2"/>
  <c r="AH73" i="2" s="1"/>
  <c r="AD72" i="2"/>
  <c r="AD73" i="2" s="1"/>
  <c r="Z72" i="2"/>
  <c r="Z73" i="2" s="1"/>
  <c r="V72" i="2"/>
  <c r="V73" i="2" s="1"/>
  <c r="R72" i="2"/>
  <c r="R73" i="2" s="1"/>
  <c r="N72" i="2"/>
  <c r="N73" i="2" s="1"/>
  <c r="J72" i="2"/>
  <c r="J73" i="2" s="1"/>
  <c r="F72" i="2"/>
  <c r="F73" i="2" s="1"/>
  <c r="CG72" i="2"/>
  <c r="CG73" i="2" s="1"/>
  <c r="CC72" i="2"/>
  <c r="CC73" i="2" s="1"/>
  <c r="BY72" i="2"/>
  <c r="BY73" i="2" s="1"/>
  <c r="BU72" i="2"/>
  <c r="BU73" i="2" s="1"/>
  <c r="BQ72" i="2"/>
  <c r="BQ73" i="2" s="1"/>
  <c r="BM72" i="2"/>
  <c r="BM73" i="2" s="1"/>
  <c r="BI72" i="2"/>
  <c r="BI73" i="2" s="1"/>
  <c r="BE72" i="2"/>
  <c r="BE73" i="2" s="1"/>
  <c r="BA72" i="2"/>
  <c r="BA73" i="2" s="1"/>
  <c r="AW72" i="2"/>
  <c r="AW73" i="2" s="1"/>
  <c r="AS72" i="2"/>
  <c r="AS73" i="2" s="1"/>
  <c r="AO72" i="2"/>
  <c r="AO73" i="2" s="1"/>
  <c r="AK72" i="2"/>
  <c r="AK73" i="2" s="1"/>
  <c r="AG72" i="2"/>
  <c r="AG73" i="2" s="1"/>
  <c r="AC72" i="2"/>
  <c r="AC73" i="2" s="1"/>
  <c r="Y72" i="2"/>
  <c r="Y73" i="2" s="1"/>
  <c r="U72" i="2"/>
  <c r="U73" i="2" s="1"/>
  <c r="Q72" i="2"/>
  <c r="Q73" i="2" s="1"/>
  <c r="M72" i="2"/>
  <c r="M73" i="2" s="1"/>
  <c r="I72" i="2"/>
  <c r="I73" i="2" s="1"/>
  <c r="C79" i="2"/>
  <c r="C78" i="2"/>
  <c r="C77" i="2"/>
  <c r="N27" i="1" s="1"/>
  <c r="C76" i="2"/>
  <c r="N23" i="1" s="1"/>
  <c r="C75" i="2"/>
  <c r="C74" i="2"/>
  <c r="C73" i="2"/>
  <c r="C72" i="2"/>
  <c r="B79" i="2"/>
  <c r="B78" i="2"/>
  <c r="M22" i="1" s="1"/>
  <c r="B77" i="2"/>
  <c r="N26" i="1" s="1"/>
  <c r="B76" i="2"/>
  <c r="N22" i="1" s="1"/>
  <c r="B75" i="2"/>
  <c r="B74" i="2"/>
  <c r="B73" i="2"/>
  <c r="B72" i="2"/>
  <c r="A79" i="2"/>
  <c r="A78" i="2"/>
  <c r="M21" i="1" s="1"/>
  <c r="A77" i="2"/>
  <c r="N25" i="1" s="1"/>
  <c r="A76" i="2"/>
  <c r="N21" i="1" s="1"/>
  <c r="A75" i="2"/>
  <c r="A74" i="2"/>
  <c r="A73" i="2"/>
  <c r="CE62" i="2"/>
  <c r="CE63" i="2" s="1"/>
  <c r="CA62" i="2"/>
  <c r="CA63" i="2" s="1"/>
  <c r="BW62" i="2"/>
  <c r="BW63" i="2" s="1"/>
  <c r="BS62" i="2"/>
  <c r="BS63" i="2" s="1"/>
  <c r="BO62" i="2"/>
  <c r="BO63" i="2" s="1"/>
  <c r="BK62" i="2"/>
  <c r="BK63" i="2" s="1"/>
  <c r="BG62" i="2"/>
  <c r="BG63" i="2" s="1"/>
  <c r="BC62" i="2"/>
  <c r="BC63" i="2" s="1"/>
  <c r="AY62" i="2"/>
  <c r="AY63" i="2" s="1"/>
  <c r="AU62" i="2"/>
  <c r="AU63" i="2" s="1"/>
  <c r="AQ62" i="2"/>
  <c r="AQ63" i="2" s="1"/>
  <c r="AM62" i="2"/>
  <c r="AM63" i="2" s="1"/>
  <c r="AI62" i="2"/>
  <c r="AI63" i="2" s="1"/>
  <c r="AE62" i="2"/>
  <c r="AE63" i="2" s="1"/>
  <c r="AA62" i="2"/>
  <c r="AA63" i="2" s="1"/>
  <c r="W62" i="2"/>
  <c r="W63" i="2" s="1"/>
  <c r="S62" i="2"/>
  <c r="S63" i="2" s="1"/>
  <c r="O62" i="2"/>
  <c r="O63" i="2" s="1"/>
  <c r="K62" i="2"/>
  <c r="K63" i="2" s="1"/>
  <c r="G62" i="2"/>
  <c r="G63" i="2" s="1"/>
  <c r="CG62" i="2"/>
  <c r="CG63" i="2" s="1"/>
  <c r="CC62" i="2"/>
  <c r="CC63" i="2" s="1"/>
  <c r="BY62" i="2"/>
  <c r="BY63" i="2" s="1"/>
  <c r="BU62" i="2"/>
  <c r="BU63" i="2" s="1"/>
  <c r="BQ62" i="2"/>
  <c r="BQ63" i="2" s="1"/>
  <c r="BM62" i="2"/>
  <c r="BM63" i="2" s="1"/>
  <c r="BI62" i="2"/>
  <c r="BI63" i="2" s="1"/>
  <c r="BE62" i="2"/>
  <c r="BE63" i="2" s="1"/>
  <c r="BA62" i="2"/>
  <c r="BA63" i="2" s="1"/>
  <c r="AW62" i="2"/>
  <c r="AW63" i="2" s="1"/>
  <c r="AS62" i="2"/>
  <c r="AS63" i="2" s="1"/>
  <c r="AO62" i="2"/>
  <c r="AO63" i="2" s="1"/>
  <c r="AK62" i="2"/>
  <c r="AK63" i="2" s="1"/>
  <c r="AG62" i="2"/>
  <c r="AG63" i="2" s="1"/>
  <c r="AC62" i="2"/>
  <c r="AC63" i="2" s="1"/>
  <c r="Y62" i="2"/>
  <c r="Y63" i="2" s="1"/>
  <c r="U62" i="2"/>
  <c r="U63" i="2" s="1"/>
  <c r="Q62" i="2"/>
  <c r="Q63" i="2" s="1"/>
  <c r="M62" i="2"/>
  <c r="M63" i="2" s="1"/>
  <c r="I62" i="2"/>
  <c r="I63" i="2" s="1"/>
  <c r="C69" i="2"/>
  <c r="C68" i="2"/>
  <c r="C67" i="2"/>
  <c r="C66" i="2"/>
  <c r="C65" i="2"/>
  <c r="C64" i="2"/>
  <c r="E19" i="1" s="1"/>
  <c r="C63" i="2"/>
  <c r="F19" i="1" s="1"/>
  <c r="C62" i="2"/>
  <c r="A69" i="2"/>
  <c r="A68" i="2"/>
  <c r="A67" i="2"/>
  <c r="A66" i="2"/>
  <c r="A65" i="2"/>
  <c r="A64" i="2"/>
  <c r="E17" i="1" s="1"/>
  <c r="A63" i="2"/>
  <c r="F17" i="1" s="1"/>
  <c r="A58" i="2"/>
  <c r="L16" i="1" s="1"/>
  <c r="A54" i="2"/>
  <c r="J16" i="1" s="1"/>
  <c r="A56" i="2"/>
  <c r="K16" i="1" s="1"/>
  <c r="CD52" i="2"/>
  <c r="CD53" i="2" s="1"/>
  <c r="BY52" i="2"/>
  <c r="BY53" i="2" s="1"/>
  <c r="BT52" i="2"/>
  <c r="BT53" i="2" s="1"/>
  <c r="BN52" i="2"/>
  <c r="BN53" i="2" s="1"/>
  <c r="BI52" i="2"/>
  <c r="BI53" i="2" s="1"/>
  <c r="BD52" i="2"/>
  <c r="BD53" i="2" s="1"/>
  <c r="AX52" i="2"/>
  <c r="AX53" i="2" s="1"/>
  <c r="AS52" i="2"/>
  <c r="AS53" i="2" s="1"/>
  <c r="AN52" i="2"/>
  <c r="AN53" i="2" s="1"/>
  <c r="AH52" i="2"/>
  <c r="AH53" i="2" s="1"/>
  <c r="AC52" i="2"/>
  <c r="AC53" i="2" s="1"/>
  <c r="X52" i="2"/>
  <c r="X53" i="2" s="1"/>
  <c r="R52" i="2"/>
  <c r="R53" i="2" s="1"/>
  <c r="M52" i="2"/>
  <c r="M53" i="2" s="1"/>
  <c r="H52" i="2"/>
  <c r="H53" i="2" s="1"/>
  <c r="BZ52" i="2"/>
  <c r="BZ53" i="2" s="1"/>
  <c r="BP52" i="2"/>
  <c r="BP53" i="2" s="1"/>
  <c r="BE52" i="2"/>
  <c r="BE53" i="2" s="1"/>
  <c r="AO52" i="2"/>
  <c r="AO53" i="2" s="1"/>
  <c r="Y52" i="2"/>
  <c r="Y53" i="2" s="1"/>
  <c r="N52" i="2"/>
  <c r="N53" i="2" s="1"/>
  <c r="CH52" i="2"/>
  <c r="CH53" i="2" s="1"/>
  <c r="CC52" i="2"/>
  <c r="CC53" i="2" s="1"/>
  <c r="BX52" i="2"/>
  <c r="BX53" i="2" s="1"/>
  <c r="BR52" i="2"/>
  <c r="BR53" i="2" s="1"/>
  <c r="BM52" i="2"/>
  <c r="BM53" i="2" s="1"/>
  <c r="BH52" i="2"/>
  <c r="BH53" i="2" s="1"/>
  <c r="BB52" i="2"/>
  <c r="BB53" i="2" s="1"/>
  <c r="AW52" i="2"/>
  <c r="AW53" i="2" s="1"/>
  <c r="AR52" i="2"/>
  <c r="AR53" i="2" s="1"/>
  <c r="AL52" i="2"/>
  <c r="AL53" i="2" s="1"/>
  <c r="AG52" i="2"/>
  <c r="AG53" i="2" s="1"/>
  <c r="AB52" i="2"/>
  <c r="AB53" i="2" s="1"/>
  <c r="V52" i="2"/>
  <c r="V53" i="2" s="1"/>
  <c r="Q52" i="2"/>
  <c r="Q53" i="2" s="1"/>
  <c r="L52" i="2"/>
  <c r="L53" i="2" s="1"/>
  <c r="F52" i="2"/>
  <c r="F53" i="2" s="1"/>
  <c r="CF52" i="2"/>
  <c r="CF53" i="2" s="1"/>
  <c r="BU52" i="2"/>
  <c r="BU53" i="2" s="1"/>
  <c r="BJ52" i="2"/>
  <c r="BJ53" i="2" s="1"/>
  <c r="AZ52" i="2"/>
  <c r="AZ53" i="2" s="1"/>
  <c r="AT52" i="2"/>
  <c r="AT53" i="2" s="1"/>
  <c r="AJ52" i="2"/>
  <c r="AJ53" i="2" s="1"/>
  <c r="AD52" i="2"/>
  <c r="AD53" i="2" s="1"/>
  <c r="T52" i="2"/>
  <c r="T53" i="2" s="1"/>
  <c r="I52" i="2"/>
  <c r="I53" i="2" s="1"/>
  <c r="CG52" i="2"/>
  <c r="CG53" i="2" s="1"/>
  <c r="CB52" i="2"/>
  <c r="CB53" i="2" s="1"/>
  <c r="BV52" i="2"/>
  <c r="BV53" i="2" s="1"/>
  <c r="BQ52" i="2"/>
  <c r="BQ53" i="2" s="1"/>
  <c r="BL52" i="2"/>
  <c r="BL53" i="2" s="1"/>
  <c r="BF52" i="2"/>
  <c r="BF53" i="2" s="1"/>
  <c r="BA52" i="2"/>
  <c r="BA53" i="2" s="1"/>
  <c r="AV52" i="2"/>
  <c r="AV53" i="2" s="1"/>
  <c r="AP52" i="2"/>
  <c r="AP53" i="2" s="1"/>
  <c r="AK52" i="2"/>
  <c r="AK53" i="2" s="1"/>
  <c r="AF52" i="2"/>
  <c r="AF53" i="2" s="1"/>
  <c r="Z52" i="2"/>
  <c r="Z53" i="2" s="1"/>
  <c r="U52" i="2"/>
  <c r="U53" i="2" s="1"/>
  <c r="P52" i="2"/>
  <c r="P53" i="2" s="1"/>
  <c r="J52" i="2"/>
  <c r="J53" i="2" s="1"/>
  <c r="E52" i="2"/>
  <c r="E53" i="2" s="1"/>
  <c r="CE52" i="2"/>
  <c r="CE53" i="2" s="1"/>
  <c r="CA52" i="2"/>
  <c r="CA53" i="2" s="1"/>
  <c r="BW52" i="2"/>
  <c r="BW53" i="2" s="1"/>
  <c r="BS52" i="2"/>
  <c r="BS53" i="2" s="1"/>
  <c r="BO52" i="2"/>
  <c r="BO53" i="2" s="1"/>
  <c r="BK52" i="2"/>
  <c r="BK53" i="2" s="1"/>
  <c r="BG52" i="2"/>
  <c r="BG53" i="2" s="1"/>
  <c r="BC52" i="2"/>
  <c r="BC53" i="2" s="1"/>
  <c r="AY52" i="2"/>
  <c r="AY53" i="2" s="1"/>
  <c r="AU52" i="2"/>
  <c r="AU53" i="2" s="1"/>
  <c r="AQ52" i="2"/>
  <c r="AQ53" i="2" s="1"/>
  <c r="AM52" i="2"/>
  <c r="AM53" i="2" s="1"/>
  <c r="AI52" i="2"/>
  <c r="AI53" i="2" s="1"/>
  <c r="AE52" i="2"/>
  <c r="AE53" i="2" s="1"/>
  <c r="AA52" i="2"/>
  <c r="AA53" i="2" s="1"/>
  <c r="W52" i="2"/>
  <c r="W53" i="2" s="1"/>
  <c r="S52" i="2"/>
  <c r="S53" i="2" s="1"/>
  <c r="O52" i="2"/>
  <c r="O53" i="2" s="1"/>
  <c r="K52" i="2"/>
  <c r="K53" i="2" s="1"/>
  <c r="CF42" i="2"/>
  <c r="CF43" i="2" s="1"/>
  <c r="CB42" i="2"/>
  <c r="CB43" i="2" s="1"/>
  <c r="BX42" i="2"/>
  <c r="BX43" i="2" s="1"/>
  <c r="BT42" i="2"/>
  <c r="BT43" i="2" s="1"/>
  <c r="BP42" i="2"/>
  <c r="BP43" i="2" s="1"/>
  <c r="BL42" i="2"/>
  <c r="BL43" i="2" s="1"/>
  <c r="BH42" i="2"/>
  <c r="BH43" i="2" s="1"/>
  <c r="BD42" i="2"/>
  <c r="BD43" i="2" s="1"/>
  <c r="AZ42" i="2"/>
  <c r="AZ43" i="2" s="1"/>
  <c r="AV42" i="2"/>
  <c r="AV43" i="2" s="1"/>
  <c r="AR42" i="2"/>
  <c r="AR43" i="2" s="1"/>
  <c r="AN42" i="2"/>
  <c r="AN43" i="2" s="1"/>
  <c r="AJ42" i="2"/>
  <c r="AJ43" i="2" s="1"/>
  <c r="AF42" i="2"/>
  <c r="AF43" i="2" s="1"/>
  <c r="AB42" i="2"/>
  <c r="AB43" i="2" s="1"/>
  <c r="X42" i="2"/>
  <c r="X43" i="2" s="1"/>
  <c r="T42" i="2"/>
  <c r="T43" i="2" s="1"/>
  <c r="P42" i="2"/>
  <c r="P43" i="2" s="1"/>
  <c r="L42" i="2"/>
  <c r="L43" i="2" s="1"/>
  <c r="H42" i="2"/>
  <c r="H43" i="2" s="1"/>
  <c r="CE42" i="2"/>
  <c r="CE43" i="2" s="1"/>
  <c r="CA42" i="2"/>
  <c r="CA43" i="2" s="1"/>
  <c r="BW42" i="2"/>
  <c r="BW43" i="2" s="1"/>
  <c r="BS42" i="2"/>
  <c r="BS43" i="2" s="1"/>
  <c r="BO42" i="2"/>
  <c r="BO43" i="2" s="1"/>
  <c r="BK42" i="2"/>
  <c r="BK43" i="2" s="1"/>
  <c r="BG42" i="2"/>
  <c r="BG43" i="2" s="1"/>
  <c r="BC42" i="2"/>
  <c r="BC43" i="2" s="1"/>
  <c r="AY42" i="2"/>
  <c r="AY43" i="2" s="1"/>
  <c r="AU42" i="2"/>
  <c r="AU43" i="2" s="1"/>
  <c r="AQ42" i="2"/>
  <c r="AQ43" i="2" s="1"/>
  <c r="AM42" i="2"/>
  <c r="AM43" i="2" s="1"/>
  <c r="AI42" i="2"/>
  <c r="AI43" i="2" s="1"/>
  <c r="AE42" i="2"/>
  <c r="AE43" i="2" s="1"/>
  <c r="AA42" i="2"/>
  <c r="AA43" i="2" s="1"/>
  <c r="W42" i="2"/>
  <c r="W43" i="2" s="1"/>
  <c r="S42" i="2"/>
  <c r="S43" i="2" s="1"/>
  <c r="O42" i="2"/>
  <c r="O43" i="2" s="1"/>
  <c r="K42" i="2"/>
  <c r="K43" i="2" s="1"/>
  <c r="G42" i="2"/>
  <c r="G43" i="2" s="1"/>
  <c r="CH42" i="2"/>
  <c r="CH43" i="2" s="1"/>
  <c r="CD42" i="2"/>
  <c r="CD43" i="2" s="1"/>
  <c r="BZ42" i="2"/>
  <c r="BZ43" i="2" s="1"/>
  <c r="BV42" i="2"/>
  <c r="BV43" i="2" s="1"/>
  <c r="BR42" i="2"/>
  <c r="BR43" i="2" s="1"/>
  <c r="BN42" i="2"/>
  <c r="BN43" i="2" s="1"/>
  <c r="BJ42" i="2"/>
  <c r="BJ43" i="2" s="1"/>
  <c r="BF42" i="2"/>
  <c r="BF43" i="2" s="1"/>
  <c r="BB42" i="2"/>
  <c r="BB43" i="2" s="1"/>
  <c r="AX42" i="2"/>
  <c r="AX43" i="2" s="1"/>
  <c r="AT42" i="2"/>
  <c r="AT43" i="2" s="1"/>
  <c r="AP42" i="2"/>
  <c r="AP43" i="2" s="1"/>
  <c r="AL42" i="2"/>
  <c r="AL43" i="2" s="1"/>
  <c r="AH42" i="2"/>
  <c r="AH43" i="2" s="1"/>
  <c r="AD42" i="2"/>
  <c r="AD43" i="2" s="1"/>
  <c r="Z42" i="2"/>
  <c r="Z43" i="2" s="1"/>
  <c r="V42" i="2"/>
  <c r="V43" i="2" s="1"/>
  <c r="R42" i="2"/>
  <c r="R43" i="2" s="1"/>
  <c r="N42" i="2"/>
  <c r="N43" i="2" s="1"/>
  <c r="J42" i="2"/>
  <c r="J43" i="2" s="1"/>
  <c r="F42" i="2"/>
  <c r="F43" i="2" s="1"/>
  <c r="CG42" i="2"/>
  <c r="CG43" i="2" s="1"/>
  <c r="CC42" i="2"/>
  <c r="CC43" i="2" s="1"/>
  <c r="BY42" i="2"/>
  <c r="BY43" i="2" s="1"/>
  <c r="BU42" i="2"/>
  <c r="BU43" i="2" s="1"/>
  <c r="BQ42" i="2"/>
  <c r="BQ43" i="2" s="1"/>
  <c r="BM42" i="2"/>
  <c r="BM43" i="2" s="1"/>
  <c r="BI42" i="2"/>
  <c r="BI43" i="2" s="1"/>
  <c r="BE42" i="2"/>
  <c r="BE43" i="2" s="1"/>
  <c r="BA42" i="2"/>
  <c r="BA43" i="2" s="1"/>
  <c r="AW42" i="2"/>
  <c r="AW43" i="2" s="1"/>
  <c r="AS42" i="2"/>
  <c r="AS43" i="2" s="1"/>
  <c r="AO42" i="2"/>
  <c r="AO43" i="2" s="1"/>
  <c r="AK42" i="2"/>
  <c r="AK43" i="2" s="1"/>
  <c r="AG42" i="2"/>
  <c r="AG43" i="2" s="1"/>
  <c r="AC42" i="2"/>
  <c r="AC43" i="2" s="1"/>
  <c r="Y42" i="2"/>
  <c r="Y43" i="2" s="1"/>
  <c r="U42" i="2"/>
  <c r="U43" i="2" s="1"/>
  <c r="Q42" i="2"/>
  <c r="Q43" i="2" s="1"/>
  <c r="M42" i="2"/>
  <c r="M43" i="2" s="1"/>
  <c r="I42" i="2"/>
  <c r="I43" i="2" s="1"/>
  <c r="D49" i="2"/>
  <c r="D48" i="2"/>
  <c r="D47" i="2"/>
  <c r="D46" i="2"/>
  <c r="D45" i="2"/>
  <c r="D44" i="2"/>
  <c r="D43" i="2"/>
  <c r="D42" i="2"/>
  <c r="C49" i="2"/>
  <c r="C48" i="2"/>
  <c r="C47" i="2"/>
  <c r="C46" i="2"/>
  <c r="C45" i="2"/>
  <c r="C44" i="2"/>
  <c r="C43" i="2"/>
  <c r="C42" i="2"/>
  <c r="B49" i="2"/>
  <c r="B48" i="2"/>
  <c r="B47" i="2"/>
  <c r="B46" i="2"/>
  <c r="B45" i="2"/>
  <c r="B44" i="2"/>
  <c r="B43" i="2"/>
  <c r="B42" i="2"/>
  <c r="A49" i="2"/>
  <c r="A48" i="2"/>
  <c r="A47" i="2"/>
  <c r="A46" i="2"/>
  <c r="I15" i="1" s="1"/>
  <c r="A45" i="2"/>
  <c r="H15" i="1" s="1"/>
  <c r="A44" i="2"/>
  <c r="E15" i="1" s="1"/>
  <c r="A43" i="2"/>
  <c r="F15" i="1" s="1"/>
  <c r="CC33" i="2"/>
  <c r="BU33" i="2"/>
  <c r="BM33" i="2"/>
  <c r="BE33" i="2"/>
  <c r="AW33" i="2"/>
  <c r="AO33" i="2"/>
  <c r="AG33" i="2"/>
  <c r="Y33" i="2"/>
  <c r="Q33" i="2"/>
  <c r="I33" i="2"/>
  <c r="CF33" i="2"/>
  <c r="BX33" i="2"/>
  <c r="BP33" i="2"/>
  <c r="BH33" i="2"/>
  <c r="AZ33" i="2"/>
  <c r="AR33" i="2"/>
  <c r="AJ33" i="2"/>
  <c r="AB33" i="2"/>
  <c r="T33" i="2"/>
  <c r="L33" i="2"/>
  <c r="CB33" i="2"/>
  <c r="BT33" i="2"/>
  <c r="BL33" i="2"/>
  <c r="BD33" i="2"/>
  <c r="AV33" i="2"/>
  <c r="AN33" i="2"/>
  <c r="AF33" i="2"/>
  <c r="X33" i="2"/>
  <c r="P33" i="2"/>
  <c r="H33" i="2"/>
  <c r="CG33" i="2"/>
  <c r="BY33" i="2"/>
  <c r="BQ33" i="2"/>
  <c r="BI33" i="2"/>
  <c r="BA33" i="2"/>
  <c r="AS33" i="2"/>
  <c r="AK33" i="2"/>
  <c r="AC33" i="2"/>
  <c r="U33" i="2"/>
  <c r="E33" i="2"/>
  <c r="CE33" i="2"/>
  <c r="CA33" i="2"/>
  <c r="BW33" i="2"/>
  <c r="BS33" i="2"/>
  <c r="BO33" i="2"/>
  <c r="BK33" i="2"/>
  <c r="BG33" i="2"/>
  <c r="BC33" i="2"/>
  <c r="AY33" i="2"/>
  <c r="AU33" i="2"/>
  <c r="AQ33" i="2"/>
  <c r="AM33" i="2"/>
  <c r="AI33" i="2"/>
  <c r="AE33" i="2"/>
  <c r="AA33" i="2"/>
  <c r="W33" i="2"/>
  <c r="S33" i="2"/>
  <c r="O33" i="2"/>
  <c r="K33" i="2"/>
  <c r="G33" i="2"/>
  <c r="CH33" i="2"/>
  <c r="CD33" i="2"/>
  <c r="BZ33" i="2"/>
  <c r="BV33" i="2"/>
  <c r="BR33" i="2"/>
  <c r="BN33" i="2"/>
  <c r="BJ33" i="2"/>
  <c r="BF33" i="2"/>
  <c r="BB33" i="2"/>
  <c r="AX33" i="2"/>
  <c r="AT33" i="2"/>
  <c r="AP33" i="2"/>
  <c r="AL33" i="2"/>
  <c r="AH33" i="2"/>
  <c r="AD33" i="2"/>
  <c r="Z33" i="2"/>
  <c r="V33" i="2"/>
  <c r="R33" i="2"/>
  <c r="N33" i="2"/>
  <c r="J33" i="2"/>
  <c r="BP23" i="2"/>
  <c r="AZ23" i="2"/>
  <c r="D39" i="2"/>
  <c r="AJ23" i="2"/>
  <c r="D35" i="2"/>
  <c r="C5" i="1"/>
  <c r="C4" i="1"/>
  <c r="C3" i="1"/>
  <c r="BL23" i="2"/>
  <c r="AV23" i="2"/>
  <c r="AF23" i="2"/>
  <c r="P23" i="2"/>
  <c r="D38" i="2"/>
  <c r="D34" i="2"/>
  <c r="E14" i="1" s="1"/>
  <c r="BX23" i="2"/>
  <c r="BH23" i="2"/>
  <c r="AR23" i="2"/>
  <c r="AB23" i="2"/>
  <c r="L23" i="2"/>
  <c r="D37" i="2"/>
  <c r="D33" i="2"/>
  <c r="F14" i="1" s="1"/>
  <c r="BT23" i="2"/>
  <c r="BD23" i="2"/>
  <c r="AN23" i="2"/>
  <c r="X23" i="2"/>
  <c r="H23" i="2"/>
  <c r="D36" i="2"/>
  <c r="D32" i="2"/>
  <c r="C39" i="2"/>
  <c r="C38" i="2"/>
  <c r="C37" i="2"/>
  <c r="C36" i="2"/>
  <c r="C35" i="2"/>
  <c r="C34" i="2"/>
  <c r="E13" i="1" s="1"/>
  <c r="C33" i="2"/>
  <c r="F13" i="1" s="1"/>
  <c r="C32" i="2"/>
  <c r="B39" i="2"/>
  <c r="B38" i="2"/>
  <c r="B37" i="2"/>
  <c r="B36" i="2"/>
  <c r="B35" i="2"/>
  <c r="B34" i="2"/>
  <c r="E12" i="1" s="1"/>
  <c r="B33" i="2"/>
  <c r="F12" i="1" s="1"/>
  <c r="B32" i="2"/>
  <c r="A39" i="2"/>
  <c r="A38" i="2"/>
  <c r="A37" i="2"/>
  <c r="A36" i="2"/>
  <c r="A35" i="2"/>
  <c r="A34" i="2"/>
  <c r="E11" i="1" s="1"/>
  <c r="A33" i="2"/>
  <c r="F11" i="1" s="1"/>
  <c r="C10" i="1"/>
  <c r="C9" i="1"/>
  <c r="C8" i="1"/>
  <c r="CF23" i="2"/>
  <c r="CE23" i="2"/>
  <c r="CA23" i="2"/>
  <c r="BW23" i="2"/>
  <c r="BS23" i="2"/>
  <c r="BO23" i="2"/>
  <c r="BK23" i="2"/>
  <c r="BG23" i="2"/>
  <c r="BC23" i="2"/>
  <c r="AY23" i="2"/>
  <c r="AU23" i="2"/>
  <c r="AQ23" i="2"/>
  <c r="AM23" i="2"/>
  <c r="AI23" i="2"/>
  <c r="AE23" i="2"/>
  <c r="AA23" i="2"/>
  <c r="W23" i="2"/>
  <c r="S23" i="2"/>
  <c r="O23" i="2"/>
  <c r="K23" i="2"/>
  <c r="G23" i="2"/>
  <c r="CB23" i="2"/>
  <c r="CH23" i="2"/>
  <c r="CD23" i="2"/>
  <c r="BZ23" i="2"/>
  <c r="BV23" i="2"/>
  <c r="BR23" i="2"/>
  <c r="BN23" i="2"/>
  <c r="BJ23" i="2"/>
  <c r="BF23" i="2"/>
  <c r="BB23" i="2"/>
  <c r="AX23" i="2"/>
  <c r="AT23" i="2"/>
  <c r="AP23" i="2"/>
  <c r="AL23" i="2"/>
  <c r="AH23" i="2"/>
  <c r="AD23" i="2"/>
  <c r="Z23" i="2"/>
  <c r="V23" i="2"/>
  <c r="R23" i="2"/>
  <c r="N23" i="2"/>
  <c r="J23" i="2"/>
  <c r="F23" i="2"/>
  <c r="CG23" i="2"/>
  <c r="CC23" i="2"/>
  <c r="BY23" i="2"/>
  <c r="BU23" i="2"/>
  <c r="BQ23" i="2"/>
  <c r="BM23" i="2"/>
  <c r="BI23" i="2"/>
  <c r="BE23" i="2"/>
  <c r="BA23" i="2"/>
  <c r="AW23" i="2"/>
  <c r="AS23" i="2"/>
  <c r="AO23" i="2"/>
  <c r="AK23" i="2"/>
  <c r="AG23" i="2"/>
  <c r="AC23" i="2"/>
  <c r="Y23" i="2"/>
  <c r="U23" i="2"/>
  <c r="Q23" i="2"/>
  <c r="M23" i="2"/>
  <c r="I23" i="2"/>
  <c r="F9" i="1"/>
  <c r="E9" i="1"/>
  <c r="F10" i="1"/>
  <c r="F8" i="1"/>
  <c r="E8" i="1"/>
  <c r="E10" i="1"/>
  <c r="F7" i="1"/>
  <c r="E7" i="1"/>
  <c r="BX13" i="2"/>
  <c r="BL13" i="2"/>
  <c r="AZ13" i="2"/>
  <c r="AN13" i="2"/>
  <c r="AF13" i="2"/>
  <c r="T13" i="2"/>
  <c r="H13" i="2"/>
  <c r="CE13" i="2"/>
  <c r="CA13" i="2"/>
  <c r="BW13" i="2"/>
  <c r="BS13" i="2"/>
  <c r="BO13" i="2"/>
  <c r="BK13" i="2"/>
  <c r="BG13" i="2"/>
  <c r="BC13" i="2"/>
  <c r="AY13" i="2"/>
  <c r="AU13" i="2"/>
  <c r="AQ13" i="2"/>
  <c r="AM13" i="2"/>
  <c r="AI13" i="2"/>
  <c r="AE13" i="2"/>
  <c r="AA13" i="2"/>
  <c r="W13" i="2"/>
  <c r="S13" i="2"/>
  <c r="O13" i="2"/>
  <c r="K13" i="2"/>
  <c r="G13" i="2"/>
  <c r="CF13" i="2"/>
  <c r="BT13" i="2"/>
  <c r="BH13" i="2"/>
  <c r="AR13" i="2"/>
  <c r="AB13" i="2"/>
  <c r="P13" i="2"/>
  <c r="CH13" i="2"/>
  <c r="CD13" i="2"/>
  <c r="BZ13" i="2"/>
  <c r="BV13" i="2"/>
  <c r="BR13" i="2"/>
  <c r="BN13" i="2"/>
  <c r="BJ13" i="2"/>
  <c r="BF13" i="2"/>
  <c r="BB13" i="2"/>
  <c r="AX13" i="2"/>
  <c r="AT13" i="2"/>
  <c r="AP13" i="2"/>
  <c r="AL13" i="2"/>
  <c r="AH13" i="2"/>
  <c r="AD13" i="2"/>
  <c r="Z13" i="2"/>
  <c r="V13" i="2"/>
  <c r="R13" i="2"/>
  <c r="N13" i="2"/>
  <c r="J13" i="2"/>
  <c r="F13" i="2"/>
  <c r="CB13" i="2"/>
  <c r="BP13" i="2"/>
  <c r="BD13" i="2"/>
  <c r="AV13" i="2"/>
  <c r="AJ13" i="2"/>
  <c r="X13" i="2"/>
  <c r="L13" i="2"/>
  <c r="CG13" i="2"/>
  <c r="CC13" i="2"/>
  <c r="BY13" i="2"/>
  <c r="BU13" i="2"/>
  <c r="BQ13" i="2"/>
  <c r="BM13" i="2"/>
  <c r="BI13" i="2"/>
  <c r="BE13" i="2"/>
  <c r="BA13" i="2"/>
  <c r="AW13" i="2"/>
  <c r="AS13" i="2"/>
  <c r="AO13" i="2"/>
  <c r="AK13" i="2"/>
  <c r="AG13" i="2"/>
  <c r="AC13" i="2"/>
  <c r="Y13" i="2"/>
  <c r="U13" i="2"/>
  <c r="Q13" i="2"/>
  <c r="I13" i="2"/>
  <c r="E6" i="1"/>
  <c r="F6" i="1"/>
  <c r="E5" i="1"/>
  <c r="F5" i="1"/>
  <c r="E4" i="1"/>
  <c r="F4" i="1"/>
  <c r="E3" i="1"/>
  <c r="F3" i="1"/>
  <c r="Q2" i="2"/>
  <c r="Q3" i="2" s="1"/>
  <c r="AC2" i="2"/>
  <c r="AC3" i="2" s="1"/>
  <c r="M2" i="2"/>
  <c r="M3" i="2" s="1"/>
  <c r="Y2" i="2"/>
  <c r="Y3" i="2" s="1"/>
  <c r="I2" i="2"/>
  <c r="I3" i="2" s="1"/>
  <c r="U2" i="2"/>
  <c r="U3" i="2" s="1"/>
  <c r="E2" i="2"/>
  <c r="E3" i="2" s="1"/>
  <c r="CG2" i="2"/>
  <c r="CG3" i="2" s="1"/>
  <c r="CC2" i="2"/>
  <c r="CC3" i="2" s="1"/>
  <c r="BY2" i="2"/>
  <c r="BY3" i="2" s="1"/>
  <c r="BU2" i="2"/>
  <c r="BU3" i="2" s="1"/>
  <c r="BQ2" i="2"/>
  <c r="BQ3" i="2" s="1"/>
  <c r="BM2" i="2"/>
  <c r="BM3" i="2" s="1"/>
  <c r="BI2" i="2"/>
  <c r="BI3" i="2" s="1"/>
  <c r="BE2" i="2"/>
  <c r="BE3" i="2" s="1"/>
  <c r="BA2" i="2"/>
  <c r="BA3" i="2" s="1"/>
  <c r="AW2" i="2"/>
  <c r="AW3" i="2" s="1"/>
  <c r="AS2" i="2"/>
  <c r="AS3" i="2" s="1"/>
  <c r="AO2" i="2"/>
  <c r="AO3" i="2" s="1"/>
  <c r="AK2" i="2"/>
  <c r="AK3" i="2" s="1"/>
  <c r="AG2" i="2"/>
  <c r="AG3" i="2" s="1"/>
  <c r="CF2" i="2"/>
  <c r="CF3" i="2" s="1"/>
  <c r="CB2" i="2"/>
  <c r="CB3" i="2" s="1"/>
  <c r="BX2" i="2"/>
  <c r="BX3" i="2" s="1"/>
  <c r="BT2" i="2"/>
  <c r="BT3" i="2" s="1"/>
  <c r="BP2" i="2"/>
  <c r="BP3" i="2" s="1"/>
  <c r="BL2" i="2"/>
  <c r="BL3" i="2" s="1"/>
  <c r="BH2" i="2"/>
  <c r="BH3" i="2" s="1"/>
  <c r="BD2" i="2"/>
  <c r="BD3" i="2" s="1"/>
  <c r="AZ2" i="2"/>
  <c r="AZ3" i="2" s="1"/>
  <c r="AV2" i="2"/>
  <c r="AV3" i="2" s="1"/>
  <c r="AR2" i="2"/>
  <c r="AR3" i="2" s="1"/>
  <c r="AN2" i="2"/>
  <c r="AN3" i="2" s="1"/>
  <c r="AJ2" i="2"/>
  <c r="AJ3" i="2" s="1"/>
  <c r="AF2" i="2"/>
  <c r="AF3" i="2" s="1"/>
  <c r="AB2" i="2"/>
  <c r="AB3" i="2" s="1"/>
  <c r="X2" i="2"/>
  <c r="X3" i="2" s="1"/>
  <c r="T2" i="2"/>
  <c r="T3" i="2" s="1"/>
  <c r="P2" i="2"/>
  <c r="P3" i="2" s="1"/>
  <c r="L2" i="2"/>
  <c r="L3" i="2" s="1"/>
  <c r="H2" i="2"/>
  <c r="H3" i="2" s="1"/>
  <c r="CE2" i="2"/>
  <c r="CE3" i="2" s="1"/>
  <c r="CA2" i="2"/>
  <c r="CA3" i="2" s="1"/>
  <c r="BW2" i="2"/>
  <c r="BW3" i="2" s="1"/>
  <c r="BS2" i="2"/>
  <c r="BS3" i="2" s="1"/>
  <c r="BO2" i="2"/>
  <c r="BO3" i="2" s="1"/>
  <c r="BK2" i="2"/>
  <c r="BK3" i="2" s="1"/>
  <c r="BG2" i="2"/>
  <c r="BG3" i="2" s="1"/>
  <c r="BC2" i="2"/>
  <c r="BC3" i="2" s="1"/>
  <c r="AY2" i="2"/>
  <c r="AY3" i="2" s="1"/>
  <c r="AU2" i="2"/>
  <c r="AU3" i="2" s="1"/>
  <c r="AQ2" i="2"/>
  <c r="AQ3" i="2" s="1"/>
  <c r="AM2" i="2"/>
  <c r="AM3" i="2" s="1"/>
  <c r="AI2" i="2"/>
  <c r="AI3" i="2" s="1"/>
  <c r="AE2" i="2"/>
  <c r="AE3" i="2" s="1"/>
  <c r="AA2" i="2"/>
  <c r="AA3" i="2" s="1"/>
  <c r="W2" i="2"/>
  <c r="W3" i="2" s="1"/>
  <c r="S2" i="2"/>
  <c r="S3" i="2" s="1"/>
  <c r="O2" i="2"/>
  <c r="O3" i="2" s="1"/>
  <c r="K2" i="2"/>
  <c r="K3" i="2" s="1"/>
  <c r="G2" i="2"/>
  <c r="G3" i="2" s="1"/>
  <c r="CH2" i="2"/>
  <c r="CH3" i="2" s="1"/>
  <c r="CD2" i="2"/>
  <c r="CD3" i="2" s="1"/>
  <c r="BZ2" i="2"/>
  <c r="BZ3" i="2" s="1"/>
  <c r="BV2" i="2"/>
  <c r="BV3" i="2" s="1"/>
  <c r="BR2" i="2"/>
  <c r="BR3" i="2" s="1"/>
  <c r="BN2" i="2"/>
  <c r="BN3" i="2" s="1"/>
  <c r="BJ2" i="2"/>
  <c r="BJ3" i="2" s="1"/>
  <c r="BF2" i="2"/>
  <c r="BF3" i="2" s="1"/>
  <c r="BB2" i="2"/>
  <c r="BB3" i="2" s="1"/>
  <c r="AX2" i="2"/>
  <c r="AX3" i="2" s="1"/>
  <c r="AT2" i="2"/>
  <c r="AT3" i="2" s="1"/>
  <c r="AP2" i="2"/>
  <c r="AP3" i="2" s="1"/>
  <c r="AL2" i="2"/>
  <c r="AL3" i="2" s="1"/>
  <c r="AH2" i="2"/>
  <c r="AH3" i="2" s="1"/>
  <c r="AD2" i="2"/>
  <c r="AD3" i="2" s="1"/>
  <c r="Z2" i="2"/>
  <c r="Z3" i="2" s="1"/>
  <c r="V2" i="2"/>
  <c r="V3" i="2" s="1"/>
  <c r="R2" i="2"/>
  <c r="R3" i="2" s="1"/>
  <c r="N2" i="2"/>
  <c r="N3" i="2" s="1"/>
  <c r="J2" i="2"/>
  <c r="J3" i="2" s="1"/>
  <c r="E2" i="1"/>
  <c r="F2" i="1"/>
  <c r="S2" i="1" l="1"/>
  <c r="S18" i="1"/>
  <c r="S6" i="1"/>
  <c r="S5" i="1"/>
  <c r="S19" i="1"/>
  <c r="S4" i="1"/>
  <c r="S3" i="1"/>
  <c r="S16" i="1"/>
  <c r="S13" i="1"/>
  <c r="S12" i="1"/>
  <c r="S17" i="1"/>
  <c r="S11" i="1"/>
  <c r="S14" i="1"/>
  <c r="S15" i="1"/>
  <c r="S20" i="1"/>
  <c r="S7" i="1"/>
  <c r="S9" i="1"/>
  <c r="S8" i="1"/>
  <c r="S10" i="1"/>
  <c r="S33" i="1"/>
  <c r="S31" i="1"/>
  <c r="S32" i="1"/>
  <c r="S30" i="1"/>
  <c r="S29" i="1"/>
  <c r="B32" i="1"/>
  <c r="B31" i="1"/>
  <c r="B33" i="1"/>
  <c r="G28" i="1"/>
  <c r="G26" i="1"/>
  <c r="G23" i="1"/>
  <c r="G27" i="1"/>
  <c r="G25" i="1"/>
  <c r="G24" i="1"/>
  <c r="F26" i="1"/>
  <c r="F28" i="1"/>
  <c r="E22" i="1"/>
  <c r="E28" i="1"/>
  <c r="E26" i="1"/>
  <c r="E24" i="1"/>
  <c r="F24" i="1"/>
  <c r="F22" i="1"/>
  <c r="E27" i="1"/>
  <c r="F27" i="1"/>
  <c r="F23" i="1"/>
  <c r="E25" i="1"/>
  <c r="E23" i="1"/>
  <c r="F25" i="1"/>
  <c r="F21" i="1"/>
  <c r="E21" i="1"/>
  <c r="E64" i="2"/>
  <c r="B20" i="1" s="1"/>
  <c r="E34" i="2"/>
  <c r="E44" i="2"/>
  <c r="B15" i="1" s="1"/>
  <c r="E74" i="2"/>
  <c r="E54" i="2"/>
  <c r="B16" i="1" s="1"/>
  <c r="E14" i="2"/>
  <c r="B4" i="1" s="1"/>
  <c r="E24" i="2"/>
  <c r="B9" i="1" s="1"/>
  <c r="E4" i="2"/>
  <c r="B2" i="1" s="1"/>
  <c r="S21" i="1" l="1"/>
  <c r="S25" i="1"/>
  <c r="S28" i="1"/>
  <c r="S24" i="1"/>
  <c r="S23" i="1"/>
  <c r="S27" i="1"/>
  <c r="S26" i="1"/>
  <c r="S22" i="1"/>
  <c r="B18" i="1"/>
  <c r="B22" i="1"/>
  <c r="B26" i="1"/>
  <c r="B23" i="1"/>
  <c r="B27" i="1"/>
  <c r="B24" i="1"/>
  <c r="B28" i="1"/>
  <c r="B25" i="1"/>
  <c r="B21" i="1"/>
  <c r="B19" i="1"/>
  <c r="B17" i="1"/>
  <c r="B3" i="1"/>
  <c r="B10" i="1"/>
  <c r="B6" i="1"/>
  <c r="B8" i="1"/>
  <c r="B5" i="1"/>
  <c r="B7" i="1"/>
  <c r="B14" i="1"/>
  <c r="B12" i="1"/>
  <c r="B13" i="1"/>
  <c r="B11" i="1"/>
</calcChain>
</file>

<file path=xl/sharedStrings.xml><?xml version="1.0" encoding="utf-8"?>
<sst xmlns="http://schemas.openxmlformats.org/spreadsheetml/2006/main" count="69" uniqueCount="38">
  <si>
    <t>Machine</t>
  </si>
  <si>
    <t>Part</t>
  </si>
  <si>
    <t>Pallet</t>
  </si>
  <si>
    <t>Nest</t>
  </si>
  <si>
    <t>Pressure</t>
  </si>
  <si>
    <t>Vacuum</t>
  </si>
  <si>
    <t>Athena 1</t>
  </si>
  <si>
    <t>Athena 2</t>
  </si>
  <si>
    <t>Athena</t>
  </si>
  <si>
    <t>Athena2</t>
  </si>
  <si>
    <t>CR5 - Ecolab 1</t>
  </si>
  <si>
    <t>CR5 - Ecolab</t>
  </si>
  <si>
    <t>CR4 - Ecolab 2</t>
  </si>
  <si>
    <t>CR4 - Ecolab2</t>
  </si>
  <si>
    <t>Multi1</t>
  </si>
  <si>
    <t>Nessie/Neptune</t>
  </si>
  <si>
    <t>VentTestPeak</t>
  </si>
  <si>
    <t>VentTestFinal</t>
  </si>
  <si>
    <t>*I don’t know exactly what A47:A48 refer to</t>
  </si>
  <si>
    <t>Cell_50_Pressure</t>
  </si>
  <si>
    <t>Cell_80_Pressure</t>
  </si>
  <si>
    <t>Cell_80_Vacuum</t>
  </si>
  <si>
    <t>Multi2</t>
  </si>
  <si>
    <t>FCB</t>
  </si>
  <si>
    <t>FCB_PreVacuum</t>
  </si>
  <si>
    <t>FCB_VentValve</t>
  </si>
  <si>
    <t>FCB_LowVacuum</t>
  </si>
  <si>
    <t>LVA4 - BTF Tester</t>
  </si>
  <si>
    <t>X10 Tester</t>
  </si>
  <si>
    <t>VacuumFinal</t>
  </si>
  <si>
    <t>PressureFinal</t>
  </si>
  <si>
    <t xml:space="preserve"> </t>
  </si>
  <si>
    <t>Pressure_Percent_Decay</t>
  </si>
  <si>
    <t>Vacuum_Percent_Decay</t>
  </si>
  <si>
    <t>Sum</t>
  </si>
  <si>
    <t xml:space="preserve">  </t>
  </si>
  <si>
    <t>OldSum</t>
  </si>
  <si>
    <t>&lt;Ask rene about this because its wrong/not updating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</si>
</sst>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"/>
    <numFmt numFmtId="167" formatCode="0.0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b/>
      <sz val="12"/>
      <color theme="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23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9" fillId="0" borderId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9" fillId="0" borderId="0"/>
    <xf numFmtId="0" fontId="1" fillId="0" borderId="0"/>
    <xf numFmtId="0" fontId="19" fillId="0" borderId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19" fillId="0" borderId="0"/>
    <xf numFmtId="0" fontId="19" fillId="0" borderId="0"/>
    <xf numFmtId="165" fontId="19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9" fillId="0" borderId="0"/>
    <xf numFmtId="0" fontId="1" fillId="0" borderId="0"/>
    <xf numFmtId="165" fontId="19" fillId="0" borderId="0" applyFont="0" applyFill="0" applyBorder="0" applyAlignment="0" applyProtection="0"/>
    <xf numFmtId="0" fontId="19" fillId="0" borderId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51" borderId="0" applyNumberFormat="0" applyBorder="0" applyAlignment="0" applyProtection="0"/>
    <xf numFmtId="0" fontId="22" fillId="35" borderId="0" applyNumberFormat="0" applyBorder="0" applyAlignment="0" applyProtection="0"/>
    <xf numFmtId="0" fontId="23" fillId="52" borderId="13" applyNumberFormat="0" applyAlignment="0" applyProtection="0"/>
    <xf numFmtId="0" fontId="24" fillId="53" borderId="14" applyNumberFormat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36" borderId="0" applyNumberFormat="0" applyBorder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9" fillId="0" borderId="17" applyNumberFormat="0" applyFill="0" applyAlignment="0" applyProtection="0"/>
    <xf numFmtId="0" fontId="29" fillId="0" borderId="0" applyNumberFormat="0" applyFill="0" applyBorder="0" applyAlignment="0" applyProtection="0"/>
    <xf numFmtId="0" fontId="30" fillId="39" borderId="13" applyNumberFormat="0" applyAlignment="0" applyProtection="0"/>
    <xf numFmtId="0" fontId="31" fillId="0" borderId="18" applyNumberFormat="0" applyFill="0" applyAlignment="0" applyProtection="0"/>
    <xf numFmtId="0" fontId="32" fillId="54" borderId="0" applyNumberFormat="0" applyBorder="0" applyAlignment="0" applyProtection="0"/>
    <xf numFmtId="0" fontId="19" fillId="0" borderId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4" fillId="0" borderId="0" applyNumberFormat="0" applyFill="0" applyBorder="0" applyAlignment="0" applyProtection="0"/>
    <xf numFmtId="0" fontId="35" fillId="0" borderId="21" applyNumberFormat="0" applyFill="0" applyAlignment="0" applyProtection="0"/>
    <xf numFmtId="0" fontId="36" fillId="0" borderId="0" applyNumberFormat="0" applyFill="0" applyBorder="0" applyAlignment="0" applyProtection="0"/>
    <xf numFmtId="165" fontId="19" fillId="0" borderId="0" applyFont="0" applyFill="0" applyBorder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8" borderId="8" applyNumberFormat="0" applyFont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165" fontId="19" fillId="0" borderId="0" applyFont="0" applyFill="0" applyBorder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165" fontId="20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9" fontId="20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35" fillId="0" borderId="21" applyNumberFormat="0" applyFill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19" fillId="55" borderId="19" applyNumberFormat="0" applyFont="0" applyAlignment="0" applyProtection="0"/>
    <xf numFmtId="165" fontId="1" fillId="0" borderId="0" applyFont="0" applyFill="0" applyBorder="0" applyAlignment="0" applyProtection="0"/>
    <xf numFmtId="0" fontId="23" fillId="52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19" fillId="55" borderId="19" applyNumberFormat="0" applyFont="0" applyAlignment="0" applyProtection="0"/>
    <xf numFmtId="0" fontId="23" fillId="52" borderId="13" applyNumberFormat="0" applyAlignment="0" applyProtection="0"/>
    <xf numFmtId="0" fontId="23" fillId="52" borderId="13" applyNumberForma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19" fillId="55" borderId="19" applyNumberFormat="0" applyFont="0" applyAlignment="0" applyProtection="0"/>
    <xf numFmtId="0" fontId="35" fillId="0" borderId="21" applyNumberFormat="0" applyFill="0" applyAlignment="0" applyProtection="0"/>
    <xf numFmtId="0" fontId="19" fillId="55" borderId="19" applyNumberFormat="0" applyFon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35" fillId="0" borderId="21" applyNumberFormat="0" applyFill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19" fillId="55" borderId="19" applyNumberFormat="0" applyFont="0" applyAlignment="0" applyProtection="0"/>
    <xf numFmtId="0" fontId="30" fillId="39" borderId="13" applyNumberFormat="0" applyAlignment="0" applyProtection="0"/>
    <xf numFmtId="0" fontId="33" fillId="52" borderId="20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5" fillId="0" borderId="21" applyNumberFormat="0" applyFill="0" applyAlignment="0" applyProtection="0"/>
    <xf numFmtId="0" fontId="19" fillId="55" borderId="19" applyNumberFormat="0" applyFont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23" fillId="52" borderId="13" applyNumberFormat="0" applyAlignment="0" applyProtection="0"/>
    <xf numFmtId="0" fontId="30" fillId="39" borderId="13" applyNumberForma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5" fillId="0" borderId="21" applyNumberFormat="0" applyFill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19" fillId="55" borderId="19" applyNumberFormat="0" applyFon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0" fontId="33" fillId="52" borderId="20" applyNumberFormat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37" fillId="0" borderId="0">
      <alignment vertical="top"/>
    </xf>
    <xf numFmtId="0" fontId="37" fillId="0" borderId="0">
      <alignment vertical="top"/>
    </xf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7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20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</cellStyleXfs>
  <cellXfs count="31">
    <xf numFmtId="0" fontId="0" fillId="0" borderId="0" xfId="0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55" borderId="19" xfId="182" applyNumberFormat="1" applyFont="1" applyAlignment="1">
      <alignment horizontal="center" vertical="center"/>
    </xf>
    <xf numFmtId="166" fontId="0" fillId="55" borderId="19" xfId="399" applyNumberFormat="1" applyFont="1" applyAlignment="1">
      <alignment horizontal="center" vertical="center"/>
    </xf>
    <xf numFmtId="166" fontId="0" fillId="55" borderId="19" xfId="182" applyNumberFormat="1" applyFont="1" applyAlignment="1">
      <alignment horizontal="center"/>
    </xf>
    <xf numFmtId="166" fontId="0" fillId="55" borderId="19" xfId="15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39" fillId="0" borderId="10" xfId="0" applyFont="1" applyBorder="1" applyAlignment="1">
      <alignment horizontal="center" vertical="center" wrapText="1"/>
    </xf>
    <xf numFmtId="0" fontId="7" fillId="3" borderId="0" xfId="7" applyAlignment="1">
      <alignment horizontal="center" vertical="center"/>
    </xf>
    <xf numFmtId="166" fontId="0" fillId="0" borderId="0" xfId="0" applyNumberFormat="1"/>
    <xf numFmtId="0" fontId="7" fillId="3" borderId="10" xfId="7" applyBorder="1" applyAlignment="1">
      <alignment horizontal="center" vertical="center" wrapText="1"/>
    </xf>
    <xf numFmtId="167" fontId="7" fillId="3" borderId="0" xfId="7" applyNumberFormat="1"/>
    <xf numFmtId="167" fontId="7" fillId="3" borderId="0" xfId="7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7" fillId="3" borderId="0" xfId="7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35">
    <cellStyle name="20% - Accent1" xfId="18" builtinId="30" customBuiltin="1"/>
    <cellStyle name="20% - Accent1 2" xfId="67"/>
    <cellStyle name="20% - Accent1 2 2" xfId="411"/>
    <cellStyle name="20% - Accent2" xfId="22" builtinId="34" customBuiltin="1"/>
    <cellStyle name="20% - Accent2 2" xfId="68"/>
    <cellStyle name="20% - Accent2 2 2" xfId="412"/>
    <cellStyle name="20% - Accent3" xfId="26" builtinId="38" customBuiltin="1"/>
    <cellStyle name="20% - Accent3 2" xfId="69"/>
    <cellStyle name="20% - Accent3 2 2" xfId="413"/>
    <cellStyle name="20% - Accent4" xfId="30" builtinId="42" customBuiltin="1"/>
    <cellStyle name="20% - Accent4 2" xfId="70"/>
    <cellStyle name="20% - Accent4 2 2" xfId="414"/>
    <cellStyle name="20% - Accent5" xfId="34" builtinId="46" customBuiltin="1"/>
    <cellStyle name="20% - Accent5 2" xfId="71"/>
    <cellStyle name="20% - Accent5 2 2" xfId="415"/>
    <cellStyle name="20% - Accent6" xfId="38" builtinId="50" customBuiltin="1"/>
    <cellStyle name="20% - Accent6 2" xfId="72"/>
    <cellStyle name="20% - Accent6 2 2" xfId="416"/>
    <cellStyle name="40% - Accent1" xfId="19" builtinId="31" customBuiltin="1"/>
    <cellStyle name="40% - Accent1 2" xfId="73"/>
    <cellStyle name="40% - Accent1 2 2" xfId="417"/>
    <cellStyle name="40% - Accent2" xfId="23" builtinId="35" customBuiltin="1"/>
    <cellStyle name="40% - Accent2 2" xfId="74"/>
    <cellStyle name="40% - Accent2 2 2" xfId="418"/>
    <cellStyle name="40% - Accent3" xfId="27" builtinId="39" customBuiltin="1"/>
    <cellStyle name="40% - Accent3 2" xfId="75"/>
    <cellStyle name="40% - Accent3 2 2" xfId="419"/>
    <cellStyle name="40% - Accent4" xfId="31" builtinId="43" customBuiltin="1"/>
    <cellStyle name="40% - Accent4 2" xfId="76"/>
    <cellStyle name="40% - Accent4 2 2" xfId="420"/>
    <cellStyle name="40% - Accent5" xfId="35" builtinId="47" customBuiltin="1"/>
    <cellStyle name="40% - Accent5 2" xfId="77"/>
    <cellStyle name="40% - Accent5 2 2" xfId="421"/>
    <cellStyle name="40% - Accent6" xfId="39" builtinId="51" customBuiltin="1"/>
    <cellStyle name="40% - Accent6 2" xfId="78"/>
    <cellStyle name="40% - Accent6 2 2" xfId="422"/>
    <cellStyle name="60% - Accent1" xfId="20" builtinId="32" customBuiltin="1"/>
    <cellStyle name="60% - Accent1 2" xfId="79"/>
    <cellStyle name="60% - Accent2" xfId="24" builtinId="36" customBuiltin="1"/>
    <cellStyle name="60% - Accent2 2" xfId="80"/>
    <cellStyle name="60% - Accent3" xfId="28" builtinId="40" customBuiltin="1"/>
    <cellStyle name="60% - Accent3 2" xfId="81"/>
    <cellStyle name="60% - Accent4" xfId="32" builtinId="44" customBuiltin="1"/>
    <cellStyle name="60% - Accent4 2" xfId="82"/>
    <cellStyle name="60% - Accent5" xfId="36" builtinId="48" customBuiltin="1"/>
    <cellStyle name="60% - Accent5 2" xfId="83"/>
    <cellStyle name="60% - Accent6" xfId="40" builtinId="52" customBuiltin="1"/>
    <cellStyle name="60% - Accent6 2" xfId="84"/>
    <cellStyle name="Accent1" xfId="17" builtinId="29" customBuiltin="1"/>
    <cellStyle name="Accent1 2" xfId="85"/>
    <cellStyle name="Accent2" xfId="21" builtinId="33" customBuiltin="1"/>
    <cellStyle name="Accent2 2" xfId="86"/>
    <cellStyle name="Accent3" xfId="25" builtinId="37" customBuiltin="1"/>
    <cellStyle name="Accent3 2" xfId="87"/>
    <cellStyle name="Accent4" xfId="29" builtinId="41" customBuiltin="1"/>
    <cellStyle name="Accent4 2" xfId="88"/>
    <cellStyle name="Accent5" xfId="33" builtinId="45" customBuiltin="1"/>
    <cellStyle name="Accent5 2" xfId="89"/>
    <cellStyle name="Accent6" xfId="37" builtinId="49" customBuiltin="1"/>
    <cellStyle name="Accent6 2" xfId="90"/>
    <cellStyle name="Bad" xfId="7" builtinId="27" customBuiltin="1"/>
    <cellStyle name="Bad 2" xfId="91"/>
    <cellStyle name="Calculation" xfId="11" builtinId="22" customBuiltin="1"/>
    <cellStyle name="Calculation 2" xfId="92"/>
    <cellStyle name="Calculation 2 2" xfId="115"/>
    <cellStyle name="Calculation 2 2 2" xfId="147"/>
    <cellStyle name="Calculation 2 2 2 2" xfId="179"/>
    <cellStyle name="Calculation 2 2 2 2 2" xfId="259"/>
    <cellStyle name="Calculation 2 2 2 2 2 2" xfId="764"/>
    <cellStyle name="Calculation 2 2 2 2 3" xfId="323"/>
    <cellStyle name="Calculation 2 2 2 2 3 2" xfId="791"/>
    <cellStyle name="Calculation 2 2 2 2 4" xfId="403"/>
    <cellStyle name="Calculation 2 2 2 2 4 2" xfId="803"/>
    <cellStyle name="Calculation 2 2 2 2 5" xfId="525"/>
    <cellStyle name="Calculation 2 2 2 3" xfId="227"/>
    <cellStyle name="Calculation 2 2 2 3 2" xfId="557"/>
    <cellStyle name="Calculation 2 2 2 4" xfId="291"/>
    <cellStyle name="Calculation 2 2 2 4 2" xfId="589"/>
    <cellStyle name="Calculation 2 2 2 5" xfId="371"/>
    <cellStyle name="Calculation 2 2 2 5 2" xfId="732"/>
    <cellStyle name="Calculation 2 2 2 6" xfId="675"/>
    <cellStyle name="Calculation 2 2 2 7" xfId="493"/>
    <cellStyle name="Calculation 2 2 3" xfId="131"/>
    <cellStyle name="Calculation 2 2 3 2" xfId="163"/>
    <cellStyle name="Calculation 2 2 3 2 2" xfId="243"/>
    <cellStyle name="Calculation 2 2 3 2 2 2" xfId="748"/>
    <cellStyle name="Calculation 2 2 3 2 3" xfId="307"/>
    <cellStyle name="Calculation 2 2 3 2 3 2" xfId="783"/>
    <cellStyle name="Calculation 2 2 3 2 4" xfId="387"/>
    <cellStyle name="Calculation 2 2 3 2 4 2" xfId="656"/>
    <cellStyle name="Calculation 2 2 3 2 5" xfId="509"/>
    <cellStyle name="Calculation 2 2 3 3" xfId="211"/>
    <cellStyle name="Calculation 2 2 3 3 2" xfId="541"/>
    <cellStyle name="Calculation 2 2 3 4" xfId="275"/>
    <cellStyle name="Calculation 2 2 3 4 2" xfId="573"/>
    <cellStyle name="Calculation 2 2 3 5" xfId="355"/>
    <cellStyle name="Calculation 2 2 3 5 2" xfId="716"/>
    <cellStyle name="Calculation 2 2 3 6" xfId="645"/>
    <cellStyle name="Calculation 2 2 3 7" xfId="477"/>
    <cellStyle name="Calculation 2 2 4" xfId="461"/>
    <cellStyle name="Calculation 2 3" xfId="139"/>
    <cellStyle name="Calculation 2 3 2" xfId="171"/>
    <cellStyle name="Calculation 2 3 2 2" xfId="251"/>
    <cellStyle name="Calculation 2 3 2 2 2" xfId="756"/>
    <cellStyle name="Calculation 2 3 2 3" xfId="315"/>
    <cellStyle name="Calculation 2 3 2 3 2" xfId="787"/>
    <cellStyle name="Calculation 2 3 2 4" xfId="395"/>
    <cellStyle name="Calculation 2 3 2 4 2" xfId="795"/>
    <cellStyle name="Calculation 2 3 2 5" xfId="517"/>
    <cellStyle name="Calculation 2 3 3" xfId="219"/>
    <cellStyle name="Calculation 2 3 3 2" xfId="549"/>
    <cellStyle name="Calculation 2 3 4" xfId="283"/>
    <cellStyle name="Calculation 2 3 4 2" xfId="581"/>
    <cellStyle name="Calculation 2 3 5" xfId="363"/>
    <cellStyle name="Calculation 2 3 5 2" xfId="724"/>
    <cellStyle name="Calculation 2 3 6" xfId="672"/>
    <cellStyle name="Calculation 2 3 7" xfId="485"/>
    <cellStyle name="Calculation 2 4" xfId="123"/>
    <cellStyle name="Calculation 2 4 2" xfId="155"/>
    <cellStyle name="Calculation 2 4 2 2" xfId="235"/>
    <cellStyle name="Calculation 2 4 2 2 2" xfId="740"/>
    <cellStyle name="Calculation 2 4 2 3" xfId="299"/>
    <cellStyle name="Calculation 2 4 2 3 2" xfId="779"/>
    <cellStyle name="Calculation 2 4 2 4" xfId="379"/>
    <cellStyle name="Calculation 2 4 2 4 2" xfId="683"/>
    <cellStyle name="Calculation 2 4 2 5" xfId="501"/>
    <cellStyle name="Calculation 2 4 3" xfId="203"/>
    <cellStyle name="Calculation 2 4 3 2" xfId="533"/>
    <cellStyle name="Calculation 2 4 4" xfId="267"/>
    <cellStyle name="Calculation 2 4 4 2" xfId="565"/>
    <cellStyle name="Calculation 2 4 5" xfId="347"/>
    <cellStyle name="Calculation 2 4 5 2" xfId="708"/>
    <cellStyle name="Calculation 2 4 6" xfId="671"/>
    <cellStyle name="Calculation 2 4 7" xfId="469"/>
    <cellStyle name="Calculation 2 5" xfId="452"/>
    <cellStyle name="Check Cell" xfId="13" builtinId="23" customBuiltin="1"/>
    <cellStyle name="Check Cell 2" xfId="93"/>
    <cellStyle name="Comma 10" xfId="860"/>
    <cellStyle name="Comma 11" xfId="1112"/>
    <cellStyle name="Comma 2" xfId="43"/>
    <cellStyle name="Comma 2 10" xfId="862"/>
    <cellStyle name="Comma 2 2" xfId="59"/>
    <cellStyle name="Comma 2 2 2" xfId="340"/>
    <cellStyle name="Comma 2 2 2 2" xfId="599"/>
    <cellStyle name="Comma 2 2 2 2 2" xfId="954"/>
    <cellStyle name="Comma 2 2 2 2 2 2" xfId="1142"/>
    <cellStyle name="Comma 2 2 2 2 3" xfId="931"/>
    <cellStyle name="Comma 2 2 2 2 3 2" xfId="1119"/>
    <cellStyle name="Comma 2 2 2 3" xfId="955"/>
    <cellStyle name="Comma 2 2 2 3 2" xfId="1143"/>
    <cellStyle name="Comma 2 2 2 4" xfId="902"/>
    <cellStyle name="Comma 2 2 2 4 2" xfId="1089"/>
    <cellStyle name="Comma 2 2 3" xfId="196"/>
    <cellStyle name="Comma 2 2 3 2" xfId="598"/>
    <cellStyle name="Comma 2 2 3 2 2" xfId="956"/>
    <cellStyle name="Comma 2 2 3 2 2 2" xfId="1144"/>
    <cellStyle name="Comma 2 2 3 2 3" xfId="930"/>
    <cellStyle name="Comma 2 2 3 2 3 2" xfId="1118"/>
    <cellStyle name="Comma 2 2 3 3" xfId="957"/>
    <cellStyle name="Comma 2 2 3 3 2" xfId="1145"/>
    <cellStyle name="Comma 2 2 3 4" xfId="886"/>
    <cellStyle name="Comma 2 2 3 4 2" xfId="1073"/>
    <cellStyle name="Comma 2 2 4" xfId="655"/>
    <cellStyle name="Comma 2 2 4 2" xfId="958"/>
    <cellStyle name="Comma 2 2 4 2 2" xfId="1146"/>
    <cellStyle name="Comma 2 2 4 3" xfId="953"/>
    <cellStyle name="Comma 2 2 4 3 2" xfId="1141"/>
    <cellStyle name="Comma 2 2 5" xfId="450"/>
    <cellStyle name="Comma 2 2 5 2" xfId="959"/>
    <cellStyle name="Comma 2 2 5 2 2" xfId="1147"/>
    <cellStyle name="Comma 2 2 5 3" xfId="926"/>
    <cellStyle name="Comma 2 2 5 3 2" xfId="1114"/>
    <cellStyle name="Comma 2 2 6" xfId="960"/>
    <cellStyle name="Comma 2 2 6 2" xfId="1148"/>
    <cellStyle name="Comma 2 2 7" xfId="870"/>
    <cellStyle name="Comma 2 2 7 2" xfId="1057"/>
    <cellStyle name="Comma 2 3" xfId="95"/>
    <cellStyle name="Comma 2 3 2" xfId="345"/>
    <cellStyle name="Comma 2 3 2 2" xfId="961"/>
    <cellStyle name="Comma 2 3 2 2 2" xfId="1149"/>
    <cellStyle name="Comma 2 3 2 3" xfId="907"/>
    <cellStyle name="Comma 2 3 2 3 2" xfId="1094"/>
    <cellStyle name="Comma 2 3 3" xfId="423"/>
    <cellStyle name="Comma 2 3 3 2" xfId="600"/>
    <cellStyle name="Comma 2 3 3 2 2" xfId="962"/>
    <cellStyle name="Comma 2 3 3 2 2 2" xfId="1150"/>
    <cellStyle name="Comma 2 3 3 2 3" xfId="932"/>
    <cellStyle name="Comma 2 3 3 2 3 2" xfId="1120"/>
    <cellStyle name="Comma 2 3 3 3" xfId="963"/>
    <cellStyle name="Comma 2 3 3 3 2" xfId="1151"/>
    <cellStyle name="Comma 2 3 3 4" xfId="909"/>
    <cellStyle name="Comma 2 3 3 4 2" xfId="1096"/>
    <cellStyle name="Comma 2 3 4" xfId="201"/>
    <cellStyle name="Comma 2 3 4 2" xfId="964"/>
    <cellStyle name="Comma 2 3 4 2 2" xfId="1152"/>
    <cellStyle name="Comma 2 3 4 3" xfId="891"/>
    <cellStyle name="Comma 2 3 4 3 2" xfId="1078"/>
    <cellStyle name="Comma 2 3 5" xfId="965"/>
    <cellStyle name="Comma 2 3 5 2" xfId="1153"/>
    <cellStyle name="Comma 2 3 6" xfId="875"/>
    <cellStyle name="Comma 2 3 6 2" xfId="1062"/>
    <cellStyle name="Comma 2 4" xfId="114"/>
    <cellStyle name="Comma 2 4 2" xfId="346"/>
    <cellStyle name="Comma 2 4 2 2" xfId="966"/>
    <cellStyle name="Comma 2 4 2 2 2" xfId="1154"/>
    <cellStyle name="Comma 2 4 2 3" xfId="908"/>
    <cellStyle name="Comma 2 4 2 3 2" xfId="1095"/>
    <cellStyle name="Comma 2 4 3" xfId="202"/>
    <cellStyle name="Comma 2 4 3 2" xfId="967"/>
    <cellStyle name="Comma 2 4 3 2 2" xfId="1155"/>
    <cellStyle name="Comma 2 4 3 3" xfId="892"/>
    <cellStyle name="Comma 2 4 3 3 2" xfId="1079"/>
    <cellStyle name="Comma 2 4 4" xfId="460"/>
    <cellStyle name="Comma 2 4 4 2" xfId="968"/>
    <cellStyle name="Comma 2 4 4 2 2" xfId="1156"/>
    <cellStyle name="Comma 2 4 4 3" xfId="928"/>
    <cellStyle name="Comma 2 4 4 3 2" xfId="1116"/>
    <cellStyle name="Comma 2 4 5" xfId="969"/>
    <cellStyle name="Comma 2 4 5 2" xfId="1157"/>
    <cellStyle name="Comma 2 4 6" xfId="876"/>
    <cellStyle name="Comma 2 4 6 2" xfId="1063"/>
    <cellStyle name="Comma 2 5" xfId="332"/>
    <cellStyle name="Comma 2 5 2" xfId="601"/>
    <cellStyle name="Comma 2 5 2 2" xfId="970"/>
    <cellStyle name="Comma 2 5 2 2 2" xfId="1158"/>
    <cellStyle name="Comma 2 5 2 3" xfId="933"/>
    <cellStyle name="Comma 2 5 2 3 2" xfId="1121"/>
    <cellStyle name="Comma 2 5 3" xfId="971"/>
    <cellStyle name="Comma 2 5 3 2" xfId="1159"/>
    <cellStyle name="Comma 2 5 4" xfId="894"/>
    <cellStyle name="Comma 2 5 4 2" xfId="1081"/>
    <cellStyle name="Comma 2 6" xfId="188"/>
    <cellStyle name="Comma 2 6 2" xfId="972"/>
    <cellStyle name="Comma 2 6 2 2" xfId="1160"/>
    <cellStyle name="Comma 2 6 3" xfId="878"/>
    <cellStyle name="Comma 2 6 3 2" xfId="1065"/>
    <cellStyle name="Comma 2 7" xfId="449"/>
    <cellStyle name="Comma 2 7 2" xfId="973"/>
    <cellStyle name="Comma 2 7 2 2" xfId="1161"/>
    <cellStyle name="Comma 2 7 3" xfId="925"/>
    <cellStyle name="Comma 2 7 3 2" xfId="1113"/>
    <cellStyle name="Comma 2 8" xfId="859"/>
    <cellStyle name="Comma 2 9" xfId="974"/>
    <cellStyle name="Comma 2 9 2" xfId="1162"/>
    <cellStyle name="Comma 3" xfId="42"/>
    <cellStyle name="Comma 3 2" xfId="52"/>
    <cellStyle name="Comma 3 2 2" xfId="56"/>
    <cellStyle name="Comma 3 2 2 2" xfId="338"/>
    <cellStyle name="Comma 3 2 2 2 2" xfId="975"/>
    <cellStyle name="Comma 3 2 2 2 2 2" xfId="1163"/>
    <cellStyle name="Comma 3 2 2 2 3" xfId="900"/>
    <cellStyle name="Comma 3 2 2 2 3 2" xfId="1087"/>
    <cellStyle name="Comma 3 2 2 3" xfId="426"/>
    <cellStyle name="Comma 3 2 2 3 2" xfId="976"/>
    <cellStyle name="Comma 3 2 2 3 2 2" xfId="1164"/>
    <cellStyle name="Comma 3 2 2 3 3" xfId="912"/>
    <cellStyle name="Comma 3 2 2 3 3 2" xfId="1099"/>
    <cellStyle name="Comma 3 2 2 4" xfId="194"/>
    <cellStyle name="Comma 3 2 2 4 2" xfId="977"/>
    <cellStyle name="Comma 3 2 2 4 2 2" xfId="1165"/>
    <cellStyle name="Comma 3 2 2 4 3" xfId="884"/>
    <cellStyle name="Comma 3 2 2 4 3 2" xfId="1071"/>
    <cellStyle name="Comma 3 2 2 5" xfId="978"/>
    <cellStyle name="Comma 3 2 2 5 2" xfId="1166"/>
    <cellStyle name="Comma 3 2 2 6" xfId="868"/>
    <cellStyle name="Comma 3 2 2 6 2" xfId="1055"/>
    <cellStyle name="Comma 3 2 3" xfId="336"/>
    <cellStyle name="Comma 3 2 3 2" xfId="979"/>
    <cellStyle name="Comma 3 2 3 2 2" xfId="1167"/>
    <cellStyle name="Comma 3 2 3 3" xfId="898"/>
    <cellStyle name="Comma 3 2 3 3 2" xfId="1085"/>
    <cellStyle name="Comma 3 2 4" xfId="425"/>
    <cellStyle name="Comma 3 2 4 2" xfId="980"/>
    <cellStyle name="Comma 3 2 4 2 2" xfId="1168"/>
    <cellStyle name="Comma 3 2 4 3" xfId="911"/>
    <cellStyle name="Comma 3 2 4 3 2" xfId="1098"/>
    <cellStyle name="Comma 3 2 5" xfId="192"/>
    <cellStyle name="Comma 3 2 5 2" xfId="981"/>
    <cellStyle name="Comma 3 2 5 2 2" xfId="1169"/>
    <cellStyle name="Comma 3 2 5 3" xfId="882"/>
    <cellStyle name="Comma 3 2 5 3 2" xfId="1069"/>
    <cellStyle name="Comma 3 2 6" xfId="982"/>
    <cellStyle name="Comma 3 2 6 2" xfId="1170"/>
    <cellStyle name="Comma 3 2 7" xfId="866"/>
    <cellStyle name="Comma 3 2 7 2" xfId="1053"/>
    <cellStyle name="Comma 3 3" xfId="47"/>
    <cellStyle name="Comma 3 3 2" xfId="61"/>
    <cellStyle name="Comma 3 3 2 2" xfId="341"/>
    <cellStyle name="Comma 3 3 2 2 2" xfId="983"/>
    <cellStyle name="Comma 3 3 2 2 2 2" xfId="1171"/>
    <cellStyle name="Comma 3 3 2 2 3" xfId="903"/>
    <cellStyle name="Comma 3 3 2 2 3 2" xfId="1090"/>
    <cellStyle name="Comma 3 3 2 3" xfId="428"/>
    <cellStyle name="Comma 3 3 2 3 2" xfId="984"/>
    <cellStyle name="Comma 3 3 2 3 2 2" xfId="1172"/>
    <cellStyle name="Comma 3 3 2 3 3" xfId="914"/>
    <cellStyle name="Comma 3 3 2 3 3 2" xfId="1101"/>
    <cellStyle name="Comma 3 3 2 4" xfId="197"/>
    <cellStyle name="Comma 3 3 2 4 2" xfId="985"/>
    <cellStyle name="Comma 3 3 2 4 2 2" xfId="1173"/>
    <cellStyle name="Comma 3 3 2 4 3" xfId="887"/>
    <cellStyle name="Comma 3 3 2 4 3 2" xfId="1074"/>
    <cellStyle name="Comma 3 3 2 5" xfId="986"/>
    <cellStyle name="Comma 3 3 2 5 2" xfId="1174"/>
    <cellStyle name="Comma 3 3 2 6" xfId="871"/>
    <cellStyle name="Comma 3 3 2 6 2" xfId="1058"/>
    <cellStyle name="Comma 3 3 3" xfId="334"/>
    <cellStyle name="Comma 3 3 3 2" xfId="987"/>
    <cellStyle name="Comma 3 3 3 2 2" xfId="1175"/>
    <cellStyle name="Comma 3 3 3 3" xfId="896"/>
    <cellStyle name="Comma 3 3 3 3 2" xfId="1083"/>
    <cellStyle name="Comma 3 3 4" xfId="427"/>
    <cellStyle name="Comma 3 3 4 2" xfId="988"/>
    <cellStyle name="Comma 3 3 4 2 2" xfId="1176"/>
    <cellStyle name="Comma 3 3 4 3" xfId="913"/>
    <cellStyle name="Comma 3 3 4 3 2" xfId="1100"/>
    <cellStyle name="Comma 3 3 5" xfId="190"/>
    <cellStyle name="Comma 3 3 5 2" xfId="989"/>
    <cellStyle name="Comma 3 3 5 2 2" xfId="1177"/>
    <cellStyle name="Comma 3 3 5 3" xfId="880"/>
    <cellStyle name="Comma 3 3 5 3 2" xfId="1067"/>
    <cellStyle name="Comma 3 3 6" xfId="990"/>
    <cellStyle name="Comma 3 3 6 2" xfId="1178"/>
    <cellStyle name="Comma 3 3 7" xfId="864"/>
    <cellStyle name="Comma 3 3 7 2" xfId="1051"/>
    <cellStyle name="Comma 3 4" xfId="331"/>
    <cellStyle name="Comma 3 4 2" xfId="991"/>
    <cellStyle name="Comma 3 4 2 2" xfId="1179"/>
    <cellStyle name="Comma 3 4 3" xfId="893"/>
    <cellStyle name="Comma 3 4 3 2" xfId="1080"/>
    <cellStyle name="Comma 3 5" xfId="424"/>
    <cellStyle name="Comma 3 5 2" xfId="992"/>
    <cellStyle name="Comma 3 5 2 2" xfId="1180"/>
    <cellStyle name="Comma 3 5 3" xfId="910"/>
    <cellStyle name="Comma 3 5 3 2" xfId="1097"/>
    <cellStyle name="Comma 3 6" xfId="187"/>
    <cellStyle name="Comma 3 6 2" xfId="993"/>
    <cellStyle name="Comma 3 6 2 2" xfId="1181"/>
    <cellStyle name="Comma 3 6 3" xfId="877"/>
    <cellStyle name="Comma 3 6 3 2" xfId="1064"/>
    <cellStyle name="Comma 3 7" xfId="994"/>
    <cellStyle name="Comma 3 7 2" xfId="1182"/>
    <cellStyle name="Comma 3 8" xfId="861"/>
    <cellStyle name="Comma 3 8 2" xfId="1049"/>
    <cellStyle name="Comma 4" xfId="46"/>
    <cellStyle name="Comma 4 2" xfId="53"/>
    <cellStyle name="Comma 4 2 2" xfId="337"/>
    <cellStyle name="Comma 4 2 2 2" xfId="995"/>
    <cellStyle name="Comma 4 2 2 2 2" xfId="1183"/>
    <cellStyle name="Comma 4 2 2 3" xfId="899"/>
    <cellStyle name="Comma 4 2 2 3 2" xfId="1086"/>
    <cellStyle name="Comma 4 2 3" xfId="430"/>
    <cellStyle name="Comma 4 2 3 2" xfId="996"/>
    <cellStyle name="Comma 4 2 3 2 2" xfId="1184"/>
    <cellStyle name="Comma 4 2 3 3" xfId="916"/>
    <cellStyle name="Comma 4 2 3 3 2" xfId="1103"/>
    <cellStyle name="Comma 4 2 4" xfId="193"/>
    <cellStyle name="Comma 4 2 4 2" xfId="997"/>
    <cellStyle name="Comma 4 2 4 2 2" xfId="1185"/>
    <cellStyle name="Comma 4 2 4 3" xfId="883"/>
    <cellStyle name="Comma 4 2 4 3 2" xfId="1070"/>
    <cellStyle name="Comma 4 2 5" xfId="998"/>
    <cellStyle name="Comma 4 2 5 2" xfId="1186"/>
    <cellStyle name="Comma 4 2 6" xfId="867"/>
    <cellStyle name="Comma 4 2 6 2" xfId="1054"/>
    <cellStyle name="Comma 4 3" xfId="333"/>
    <cellStyle name="Comma 4 3 2" xfId="602"/>
    <cellStyle name="Comma 4 3 2 2" xfId="999"/>
    <cellStyle name="Comma 4 3 2 2 2" xfId="1187"/>
    <cellStyle name="Comma 4 3 2 3" xfId="934"/>
    <cellStyle name="Comma 4 3 2 3 2" xfId="1122"/>
    <cellStyle name="Comma 4 3 3" xfId="1000"/>
    <cellStyle name="Comma 4 3 3 2" xfId="1188"/>
    <cellStyle name="Comma 4 3 4" xfId="895"/>
    <cellStyle name="Comma 4 3 4 2" xfId="1082"/>
    <cellStyle name="Comma 4 4" xfId="429"/>
    <cellStyle name="Comma 4 4 2" xfId="1001"/>
    <cellStyle name="Comma 4 4 2 2" xfId="1189"/>
    <cellStyle name="Comma 4 4 3" xfId="915"/>
    <cellStyle name="Comma 4 4 3 2" xfId="1102"/>
    <cellStyle name="Comma 4 5" xfId="189"/>
    <cellStyle name="Comma 4 5 2" xfId="1002"/>
    <cellStyle name="Comma 4 5 2 2" xfId="1190"/>
    <cellStyle name="Comma 4 5 3" xfId="879"/>
    <cellStyle name="Comma 4 5 3 2" xfId="1066"/>
    <cellStyle name="Comma 4 6" xfId="1003"/>
    <cellStyle name="Comma 4 6 2" xfId="1191"/>
    <cellStyle name="Comma 4 7" xfId="863"/>
    <cellStyle name="Comma 4 7 2" xfId="1050"/>
    <cellStyle name="Comma 5" xfId="48"/>
    <cellStyle name="Comma 5 2" xfId="62"/>
    <cellStyle name="Comma 5 2 2" xfId="342"/>
    <cellStyle name="Comma 5 2 2 2" xfId="433"/>
    <cellStyle name="Comma 5 2 2 2 2" xfId="1004"/>
    <cellStyle name="Comma 5 2 2 2 2 2" xfId="1192"/>
    <cellStyle name="Comma 5 2 2 2 3" xfId="919"/>
    <cellStyle name="Comma 5 2 2 2 3 2" xfId="1106"/>
    <cellStyle name="Comma 5 2 2 3" xfId="1005"/>
    <cellStyle name="Comma 5 2 2 3 2" xfId="1193"/>
    <cellStyle name="Comma 5 2 2 4" xfId="904"/>
    <cellStyle name="Comma 5 2 2 4 2" xfId="1091"/>
    <cellStyle name="Comma 5 2 3" xfId="432"/>
    <cellStyle name="Comma 5 2 3 2" xfId="604"/>
    <cellStyle name="Comma 5 2 3 2 2" xfId="1006"/>
    <cellStyle name="Comma 5 2 3 2 2 2" xfId="1194"/>
    <cellStyle name="Comma 5 2 3 2 3" xfId="936"/>
    <cellStyle name="Comma 5 2 3 2 3 2" xfId="1124"/>
    <cellStyle name="Comma 5 2 3 3" xfId="1007"/>
    <cellStyle name="Comma 5 2 3 3 2" xfId="1195"/>
    <cellStyle name="Comma 5 2 3 4" xfId="918"/>
    <cellStyle name="Comma 5 2 3 4 2" xfId="1105"/>
    <cellStyle name="Comma 5 2 4" xfId="198"/>
    <cellStyle name="Comma 5 2 4 2" xfId="1008"/>
    <cellStyle name="Comma 5 2 4 2 2" xfId="1196"/>
    <cellStyle name="Comma 5 2 4 3" xfId="888"/>
    <cellStyle name="Comma 5 2 4 3 2" xfId="1075"/>
    <cellStyle name="Comma 5 2 5" xfId="1009"/>
    <cellStyle name="Comma 5 2 5 2" xfId="1197"/>
    <cellStyle name="Comma 5 2 6" xfId="872"/>
    <cellStyle name="Comma 5 2 6 2" xfId="1059"/>
    <cellStyle name="Comma 5 3" xfId="335"/>
    <cellStyle name="Comma 5 3 2" xfId="434"/>
    <cellStyle name="Comma 5 3 2 2" xfId="1010"/>
    <cellStyle name="Comma 5 3 2 2 2" xfId="1198"/>
    <cellStyle name="Comma 5 3 2 3" xfId="920"/>
    <cellStyle name="Comma 5 3 2 3 2" xfId="1107"/>
    <cellStyle name="Comma 5 3 3" xfId="1011"/>
    <cellStyle name="Comma 5 3 3 2" xfId="1199"/>
    <cellStyle name="Comma 5 3 4" xfId="897"/>
    <cellStyle name="Comma 5 3 4 2" xfId="1084"/>
    <cellStyle name="Comma 5 4" xfId="431"/>
    <cellStyle name="Comma 5 4 2" xfId="603"/>
    <cellStyle name="Comma 5 4 2 2" xfId="1012"/>
    <cellStyle name="Comma 5 4 2 2 2" xfId="1200"/>
    <cellStyle name="Comma 5 4 2 3" xfId="935"/>
    <cellStyle name="Comma 5 4 2 3 2" xfId="1123"/>
    <cellStyle name="Comma 5 4 3" xfId="1013"/>
    <cellStyle name="Comma 5 4 3 2" xfId="1201"/>
    <cellStyle name="Comma 5 4 4" xfId="917"/>
    <cellStyle name="Comma 5 4 4 2" xfId="1104"/>
    <cellStyle name="Comma 5 5" xfId="191"/>
    <cellStyle name="Comma 5 5 2" xfId="1014"/>
    <cellStyle name="Comma 5 5 2 2" xfId="1202"/>
    <cellStyle name="Comma 5 5 3" xfId="881"/>
    <cellStyle name="Comma 5 5 3 2" xfId="1068"/>
    <cellStyle name="Comma 5 6" xfId="1015"/>
    <cellStyle name="Comma 5 6 2" xfId="1203"/>
    <cellStyle name="Comma 5 7" xfId="865"/>
    <cellStyle name="Comma 5 7 2" xfId="1052"/>
    <cellStyle name="Comma 6" xfId="58"/>
    <cellStyle name="Comma 6 2" xfId="339"/>
    <cellStyle name="Comma 6 2 2" xfId="436"/>
    <cellStyle name="Comma 6 2 2 2" xfId="607"/>
    <cellStyle name="Comma 6 2 2 2 2" xfId="1016"/>
    <cellStyle name="Comma 6 2 2 2 2 2" xfId="1204"/>
    <cellStyle name="Comma 6 2 2 2 3" xfId="939"/>
    <cellStyle name="Comma 6 2 2 2 3 2" xfId="1127"/>
    <cellStyle name="Comma 6 2 2 3" xfId="1017"/>
    <cellStyle name="Comma 6 2 2 3 2" xfId="1205"/>
    <cellStyle name="Comma 6 2 2 4" xfId="922"/>
    <cellStyle name="Comma 6 2 2 4 2" xfId="1109"/>
    <cellStyle name="Comma 6 2 3" xfId="606"/>
    <cellStyle name="Comma 6 2 3 2" xfId="1018"/>
    <cellStyle name="Comma 6 2 3 2 2" xfId="1206"/>
    <cellStyle name="Comma 6 2 3 3" xfId="938"/>
    <cellStyle name="Comma 6 2 3 3 2" xfId="1126"/>
    <cellStyle name="Comma 6 2 4" xfId="1019"/>
    <cellStyle name="Comma 6 2 4 2" xfId="1207"/>
    <cellStyle name="Comma 6 2 5" xfId="901"/>
    <cellStyle name="Comma 6 2 5 2" xfId="1088"/>
    <cellStyle name="Comma 6 3" xfId="435"/>
    <cellStyle name="Comma 6 3 2" xfId="609"/>
    <cellStyle name="Comma 6 3 2 2" xfId="1020"/>
    <cellStyle name="Comma 6 3 2 2 2" xfId="1208"/>
    <cellStyle name="Comma 6 3 2 3" xfId="941"/>
    <cellStyle name="Comma 6 3 2 3 2" xfId="1129"/>
    <cellStyle name="Comma 6 3 3" xfId="608"/>
    <cellStyle name="Comma 6 3 3 2" xfId="1021"/>
    <cellStyle name="Comma 6 3 3 2 2" xfId="1209"/>
    <cellStyle name="Comma 6 3 3 3" xfId="940"/>
    <cellStyle name="Comma 6 3 3 3 2" xfId="1128"/>
    <cellStyle name="Comma 6 3 4" xfId="1022"/>
    <cellStyle name="Comma 6 3 4 2" xfId="1210"/>
    <cellStyle name="Comma 6 3 5" xfId="921"/>
    <cellStyle name="Comma 6 3 5 2" xfId="1108"/>
    <cellStyle name="Comma 6 4" xfId="195"/>
    <cellStyle name="Comma 6 4 2" xfId="610"/>
    <cellStyle name="Comma 6 4 2 2" xfId="1023"/>
    <cellStyle name="Comma 6 4 2 2 2" xfId="1211"/>
    <cellStyle name="Comma 6 4 2 3" xfId="942"/>
    <cellStyle name="Comma 6 4 2 3 2" xfId="1130"/>
    <cellStyle name="Comma 6 4 3" xfId="1024"/>
    <cellStyle name="Comma 6 4 3 2" xfId="1212"/>
    <cellStyle name="Comma 6 4 4" xfId="885"/>
    <cellStyle name="Comma 6 4 4 2" xfId="1072"/>
    <cellStyle name="Comma 6 5" xfId="611"/>
    <cellStyle name="Comma 6 5 2" xfId="1025"/>
    <cellStyle name="Comma 6 5 2 2" xfId="1213"/>
    <cellStyle name="Comma 6 5 3" xfId="943"/>
    <cellStyle name="Comma 6 5 3 2" xfId="1131"/>
    <cellStyle name="Comma 6 6" xfId="605"/>
    <cellStyle name="Comma 6 6 2" xfId="1026"/>
    <cellStyle name="Comma 6 6 2 2" xfId="1214"/>
    <cellStyle name="Comma 6 6 3" xfId="937"/>
    <cellStyle name="Comma 6 6 3 2" xfId="1125"/>
    <cellStyle name="Comma 6 7" xfId="1027"/>
    <cellStyle name="Comma 6 7 2" xfId="1215"/>
    <cellStyle name="Comma 6 8" xfId="869"/>
    <cellStyle name="Comma 6 8 2" xfId="1056"/>
    <cellStyle name="Comma 7" xfId="65"/>
    <cellStyle name="Comma 7 2" xfId="343"/>
    <cellStyle name="Comma 7 2 2" xfId="438"/>
    <cellStyle name="Comma 7 2 2 2" xfId="1028"/>
    <cellStyle name="Comma 7 2 2 2 2" xfId="1216"/>
    <cellStyle name="Comma 7 2 2 3" xfId="924"/>
    <cellStyle name="Comma 7 2 2 3 2" xfId="1111"/>
    <cellStyle name="Comma 7 2 3" xfId="613"/>
    <cellStyle name="Comma 7 2 3 2" xfId="1029"/>
    <cellStyle name="Comma 7 2 3 2 2" xfId="1217"/>
    <cellStyle name="Comma 7 2 3 3" xfId="945"/>
    <cellStyle name="Comma 7 2 3 3 2" xfId="1133"/>
    <cellStyle name="Comma 7 2 4" xfId="1030"/>
    <cellStyle name="Comma 7 2 4 2" xfId="1218"/>
    <cellStyle name="Comma 7 2 5" xfId="905"/>
    <cellStyle name="Comma 7 2 5 2" xfId="1092"/>
    <cellStyle name="Comma 7 3" xfId="437"/>
    <cellStyle name="Comma 7 3 2" xfId="614"/>
    <cellStyle name="Comma 7 3 2 2" xfId="1031"/>
    <cellStyle name="Comma 7 3 2 2 2" xfId="1219"/>
    <cellStyle name="Comma 7 3 2 3" xfId="946"/>
    <cellStyle name="Comma 7 3 2 3 2" xfId="1134"/>
    <cellStyle name="Comma 7 3 3" xfId="1032"/>
    <cellStyle name="Comma 7 3 3 2" xfId="1220"/>
    <cellStyle name="Comma 7 3 4" xfId="923"/>
    <cellStyle name="Comma 7 3 4 2" xfId="1110"/>
    <cellStyle name="Comma 7 4" xfId="199"/>
    <cellStyle name="Comma 7 4 2" xfId="615"/>
    <cellStyle name="Comma 7 4 2 2" xfId="1033"/>
    <cellStyle name="Comma 7 4 2 2 2" xfId="1221"/>
    <cellStyle name="Comma 7 4 2 3" xfId="947"/>
    <cellStyle name="Comma 7 4 2 3 2" xfId="1135"/>
    <cellStyle name="Comma 7 4 3" xfId="1034"/>
    <cellStyle name="Comma 7 4 3 2" xfId="1222"/>
    <cellStyle name="Comma 7 4 4" xfId="889"/>
    <cellStyle name="Comma 7 4 4 2" xfId="1076"/>
    <cellStyle name="Comma 7 5" xfId="612"/>
    <cellStyle name="Comma 7 5 2" xfId="1035"/>
    <cellStyle name="Comma 7 5 2 2" xfId="1223"/>
    <cellStyle name="Comma 7 5 3" xfId="944"/>
    <cellStyle name="Comma 7 5 3 2" xfId="1132"/>
    <cellStyle name="Comma 7 6" xfId="451"/>
    <cellStyle name="Comma 7 6 2" xfId="1036"/>
    <cellStyle name="Comma 7 6 2 2" xfId="1224"/>
    <cellStyle name="Comma 7 6 3" xfId="927"/>
    <cellStyle name="Comma 7 6 3 2" xfId="1115"/>
    <cellStyle name="Comma 7 7" xfId="1037"/>
    <cellStyle name="Comma 7 7 2" xfId="1225"/>
    <cellStyle name="Comma 7 8" xfId="873"/>
    <cellStyle name="Comma 7 8 2" xfId="1060"/>
    <cellStyle name="Comma 8" xfId="94"/>
    <cellStyle name="Comma 8 2" xfId="344"/>
    <cellStyle name="Comma 8 2 2" xfId="1038"/>
    <cellStyle name="Comma 8 2 2 2" xfId="1226"/>
    <cellStyle name="Comma 8 2 3" xfId="906"/>
    <cellStyle name="Comma 8 2 3 2" xfId="1093"/>
    <cellStyle name="Comma 8 3" xfId="200"/>
    <cellStyle name="Comma 8 3 2" xfId="1039"/>
    <cellStyle name="Comma 8 3 2 2" xfId="1227"/>
    <cellStyle name="Comma 8 3 3" xfId="890"/>
    <cellStyle name="Comma 8 3 3 2" xfId="1077"/>
    <cellStyle name="Comma 8 4" xfId="1040"/>
    <cellStyle name="Comma 8 4 2" xfId="1228"/>
    <cellStyle name="Comma 8 5" xfId="874"/>
    <cellStyle name="Comma 8 5 2" xfId="1061"/>
    <cellStyle name="Comma 9" xfId="597"/>
    <cellStyle name="Comma 9 2" xfId="1041"/>
    <cellStyle name="Comma 9 2 2" xfId="1229"/>
    <cellStyle name="Comma 9 3" xfId="929"/>
    <cellStyle name="Comma 9 3 2" xfId="1117"/>
    <cellStyle name="Currency 2" xfId="616"/>
    <cellStyle name="Currency 2 2" xfId="617"/>
    <cellStyle name="Currency 2 2 2" xfId="1042"/>
    <cellStyle name="Currency 2 2 2 2" xfId="1230"/>
    <cellStyle name="Currency 2 2 3" xfId="949"/>
    <cellStyle name="Currency 2 2 3 2" xfId="1137"/>
    <cellStyle name="Currency 2 3" xfId="618"/>
    <cellStyle name="Currency 2 3 2" xfId="619"/>
    <cellStyle name="Currency 2 3 2 2" xfId="1043"/>
    <cellStyle name="Currency 2 3 2 2 2" xfId="1231"/>
    <cellStyle name="Currency 2 3 2 3" xfId="951"/>
    <cellStyle name="Currency 2 3 2 3 2" xfId="1139"/>
    <cellStyle name="Currency 2 3 3" xfId="1044"/>
    <cellStyle name="Currency 2 3 3 2" xfId="1232"/>
    <cellStyle name="Currency 2 3 4" xfId="950"/>
    <cellStyle name="Currency 2 3 4 2" xfId="1138"/>
    <cellStyle name="Currency 2 4" xfId="620"/>
    <cellStyle name="Currency 2 4 2" xfId="1045"/>
    <cellStyle name="Currency 2 4 2 2" xfId="1233"/>
    <cellStyle name="Currency 2 4 3" xfId="952"/>
    <cellStyle name="Currency 2 4 3 2" xfId="1140"/>
    <cellStyle name="Currency 2 5" xfId="1046"/>
    <cellStyle name="Currency 2 5 2" xfId="1234"/>
    <cellStyle name="Currency 2 6" xfId="948"/>
    <cellStyle name="Currency 2 6 2" xfId="1136"/>
    <cellStyle name="Explanatory Text" xfId="15" builtinId="53" customBuiltin="1"/>
    <cellStyle name="Explanatory Text 2" xfId="96"/>
    <cellStyle name="Good" xfId="6" builtinId="26" customBuiltin="1"/>
    <cellStyle name="Good 2" xfId="97"/>
    <cellStyle name="Heading 1" xfId="2" builtinId="16" customBuiltin="1"/>
    <cellStyle name="Heading 1 2" xfId="98"/>
    <cellStyle name="Heading 2" xfId="3" builtinId="17" customBuiltin="1"/>
    <cellStyle name="Heading 2 2" xfId="99"/>
    <cellStyle name="Heading 3" xfId="4" builtinId="18" customBuiltin="1"/>
    <cellStyle name="Heading 3 2" xfId="100"/>
    <cellStyle name="Heading 4" xfId="5" builtinId="19" customBuiltin="1"/>
    <cellStyle name="Heading 4 2" xfId="101"/>
    <cellStyle name="Hyperlink 2" xfId="621"/>
    <cellStyle name="Input" xfId="9" builtinId="20" customBuiltin="1"/>
    <cellStyle name="Input 2" xfId="102"/>
    <cellStyle name="Input 2 2" xfId="116"/>
    <cellStyle name="Input 2 2 2" xfId="148"/>
    <cellStyle name="Input 2 2 2 2" xfId="180"/>
    <cellStyle name="Input 2 2 2 2 2" xfId="260"/>
    <cellStyle name="Input 2 2 2 2 2 2" xfId="765"/>
    <cellStyle name="Input 2 2 2 2 3" xfId="324"/>
    <cellStyle name="Input 2 2 2 2 3 2" xfId="792"/>
    <cellStyle name="Input 2 2 2 2 4" xfId="404"/>
    <cellStyle name="Input 2 2 2 2 4 2" xfId="804"/>
    <cellStyle name="Input 2 2 2 2 5" xfId="526"/>
    <cellStyle name="Input 2 2 2 3" xfId="228"/>
    <cellStyle name="Input 2 2 2 3 2" xfId="558"/>
    <cellStyle name="Input 2 2 2 4" xfId="292"/>
    <cellStyle name="Input 2 2 2 4 2" xfId="590"/>
    <cellStyle name="Input 2 2 2 5" xfId="372"/>
    <cellStyle name="Input 2 2 2 5 2" xfId="733"/>
    <cellStyle name="Input 2 2 2 6" xfId="676"/>
    <cellStyle name="Input 2 2 2 7" xfId="494"/>
    <cellStyle name="Input 2 2 3" xfId="132"/>
    <cellStyle name="Input 2 2 3 2" xfId="164"/>
    <cellStyle name="Input 2 2 3 2 2" xfId="244"/>
    <cellStyle name="Input 2 2 3 2 2 2" xfId="749"/>
    <cellStyle name="Input 2 2 3 2 3" xfId="308"/>
    <cellStyle name="Input 2 2 3 2 3 2" xfId="784"/>
    <cellStyle name="Input 2 2 3 2 4" xfId="388"/>
    <cellStyle name="Input 2 2 3 2 4 2" xfId="646"/>
    <cellStyle name="Input 2 2 3 2 5" xfId="510"/>
    <cellStyle name="Input 2 2 3 3" xfId="212"/>
    <cellStyle name="Input 2 2 3 3 2" xfId="542"/>
    <cellStyle name="Input 2 2 3 4" xfId="276"/>
    <cellStyle name="Input 2 2 3 4 2" xfId="574"/>
    <cellStyle name="Input 2 2 3 5" xfId="356"/>
    <cellStyle name="Input 2 2 3 5 2" xfId="717"/>
    <cellStyle name="Input 2 2 3 6" xfId="642"/>
    <cellStyle name="Input 2 2 3 7" xfId="478"/>
    <cellStyle name="Input 2 2 4" xfId="462"/>
    <cellStyle name="Input 2 3" xfId="140"/>
    <cellStyle name="Input 2 3 2" xfId="172"/>
    <cellStyle name="Input 2 3 2 2" xfId="252"/>
    <cellStyle name="Input 2 3 2 2 2" xfId="757"/>
    <cellStyle name="Input 2 3 2 3" xfId="316"/>
    <cellStyle name="Input 2 3 2 3 2" xfId="788"/>
    <cellStyle name="Input 2 3 2 4" xfId="396"/>
    <cellStyle name="Input 2 3 2 4 2" xfId="796"/>
    <cellStyle name="Input 2 3 2 5" xfId="518"/>
    <cellStyle name="Input 2 3 3" xfId="220"/>
    <cellStyle name="Input 2 3 3 2" xfId="550"/>
    <cellStyle name="Input 2 3 4" xfId="284"/>
    <cellStyle name="Input 2 3 4 2" xfId="582"/>
    <cellStyle name="Input 2 3 5" xfId="364"/>
    <cellStyle name="Input 2 3 5 2" xfId="725"/>
    <cellStyle name="Input 2 3 6" xfId="774"/>
    <cellStyle name="Input 2 3 7" xfId="486"/>
    <cellStyle name="Input 2 4" xfId="124"/>
    <cellStyle name="Input 2 4 2" xfId="156"/>
    <cellStyle name="Input 2 4 2 2" xfId="236"/>
    <cellStyle name="Input 2 4 2 2 2" xfId="741"/>
    <cellStyle name="Input 2 4 2 3" xfId="300"/>
    <cellStyle name="Input 2 4 2 3 2" xfId="780"/>
    <cellStyle name="Input 2 4 2 4" xfId="380"/>
    <cellStyle name="Input 2 4 2 4 2" xfId="700"/>
    <cellStyle name="Input 2 4 2 5" xfId="502"/>
    <cellStyle name="Input 2 4 3" xfId="204"/>
    <cellStyle name="Input 2 4 3 2" xfId="534"/>
    <cellStyle name="Input 2 4 4" xfId="268"/>
    <cellStyle name="Input 2 4 4 2" xfId="566"/>
    <cellStyle name="Input 2 4 5" xfId="348"/>
    <cellStyle name="Input 2 4 5 2" xfId="709"/>
    <cellStyle name="Input 2 4 6" xfId="687"/>
    <cellStyle name="Input 2 4 7" xfId="470"/>
    <cellStyle name="Input 2 5" xfId="453"/>
    <cellStyle name="Linked Cell" xfId="12" builtinId="24" customBuiltin="1"/>
    <cellStyle name="Linked Cell 2" xfId="103"/>
    <cellStyle name="Neutral" xfId="8" builtinId="28" customBuiltin="1"/>
    <cellStyle name="Neutral 2" xfId="104"/>
    <cellStyle name="Normal" xfId="0" builtinId="0"/>
    <cellStyle name="Normal 2" xfId="44"/>
    <cellStyle name="Normal 2 2" xfId="60"/>
    <cellStyle name="Normal 2 2 2" xfId="439"/>
    <cellStyle name="Normal 2 2 2 2" xfId="623"/>
    <cellStyle name="Normal 2 2 3" xfId="624"/>
    <cellStyle name="Normal 2 2 3 2" xfId="625"/>
    <cellStyle name="Normal 2 2 4" xfId="626"/>
    <cellStyle name="Normal 2 2 4 2" xfId="627"/>
    <cellStyle name="Normal 2 2 5" xfId="628"/>
    <cellStyle name="Normal 2 2 6" xfId="622"/>
    <cellStyle name="Normal 2 3" xfId="105"/>
    <cellStyle name="Normal 2 3 2" xfId="441"/>
    <cellStyle name="Normal 2 3 3" xfId="440"/>
    <cellStyle name="Normal 2 4" xfId="629"/>
    <cellStyle name="Normal 3" xfId="41"/>
    <cellStyle name="Normal 3 2" xfId="51"/>
    <cellStyle name="Normal 3 2 2" xfId="55"/>
    <cellStyle name="Normal 3 3" xfId="49"/>
    <cellStyle name="Normal 3 3 2" xfId="63"/>
    <cellStyle name="Normal 3 4" xfId="443"/>
    <cellStyle name="Normal 3 5" xfId="444"/>
    <cellStyle name="Normal 3 6" xfId="442"/>
    <cellStyle name="Normal 4" xfId="45"/>
    <cellStyle name="Normal 4 2" xfId="54"/>
    <cellStyle name="Normal 5" xfId="50"/>
    <cellStyle name="Normal 5 2" xfId="64"/>
    <cellStyle name="Normal 5 2 2" xfId="445"/>
    <cellStyle name="Normal 5 3" xfId="446"/>
    <cellStyle name="Normal 6" xfId="57"/>
    <cellStyle name="Normal 6 2" xfId="447"/>
    <cellStyle name="Normal 6 2 2" xfId="631"/>
    <cellStyle name="Normal 6 3" xfId="632"/>
    <cellStyle name="Normal 6 4" xfId="630"/>
    <cellStyle name="Normal 7" xfId="66"/>
    <cellStyle name="Normal 8" xfId="1047"/>
    <cellStyle name="Normal 8 2" xfId="1048"/>
    <cellStyle name="Note 2" xfId="107"/>
    <cellStyle name="Note 2 2" xfId="118"/>
    <cellStyle name="Note 2 2 2" xfId="150"/>
    <cellStyle name="Note 2 2 2 2" xfId="182"/>
    <cellStyle name="Note 2 2 2 2 2" xfId="262"/>
    <cellStyle name="Note 2 2 2 2 2 2" xfId="767"/>
    <cellStyle name="Note 2 2 2 2 3" xfId="326"/>
    <cellStyle name="Note 2 2 2 2 3 2" xfId="806"/>
    <cellStyle name="Note 2 2 2 2 4" xfId="406"/>
    <cellStyle name="Note 2 2 2 2 4 2" xfId="811"/>
    <cellStyle name="Note 2 2 2 2 5" xfId="528"/>
    <cellStyle name="Note 2 2 2 3" xfId="230"/>
    <cellStyle name="Note 2 2 2 3 2" xfId="560"/>
    <cellStyle name="Note 2 2 2 4" xfId="294"/>
    <cellStyle name="Note 2 2 2 4 2" xfId="592"/>
    <cellStyle name="Note 2 2 2 5" xfId="374"/>
    <cellStyle name="Note 2 2 2 5 2" xfId="735"/>
    <cellStyle name="Note 2 2 2 6" xfId="678"/>
    <cellStyle name="Note 2 2 2 7" xfId="496"/>
    <cellStyle name="Note 2 2 3" xfId="134"/>
    <cellStyle name="Note 2 2 3 2" xfId="166"/>
    <cellStyle name="Note 2 2 3 2 2" xfId="246"/>
    <cellStyle name="Note 2 2 3 2 2 2" xfId="751"/>
    <cellStyle name="Note 2 2 3 2 3" xfId="310"/>
    <cellStyle name="Note 2 2 3 2 3 2" xfId="648"/>
    <cellStyle name="Note 2 2 3 2 4" xfId="390"/>
    <cellStyle name="Note 2 2 3 2 4 2" xfId="812"/>
    <cellStyle name="Note 2 2 3 2 5" xfId="512"/>
    <cellStyle name="Note 2 2 3 3" xfId="214"/>
    <cellStyle name="Note 2 2 3 3 2" xfId="544"/>
    <cellStyle name="Note 2 2 3 4" xfId="278"/>
    <cellStyle name="Note 2 2 3 4 2" xfId="576"/>
    <cellStyle name="Note 2 2 3 5" xfId="358"/>
    <cellStyle name="Note 2 2 3 5 2" xfId="719"/>
    <cellStyle name="Note 2 2 3 6" xfId="661"/>
    <cellStyle name="Note 2 2 3 7" xfId="480"/>
    <cellStyle name="Note 2 2 4" xfId="703"/>
    <cellStyle name="Note 2 2 5" xfId="665"/>
    <cellStyle name="Note 2 2 6" xfId="464"/>
    <cellStyle name="Note 2 3" xfId="142"/>
    <cellStyle name="Note 2 3 2" xfId="174"/>
    <cellStyle name="Note 2 3 2 2" xfId="254"/>
    <cellStyle name="Note 2 3 2 2 2" xfId="759"/>
    <cellStyle name="Note 2 3 2 3" xfId="318"/>
    <cellStyle name="Note 2 3 2 3 2" xfId="798"/>
    <cellStyle name="Note 2 3 2 4" xfId="398"/>
    <cellStyle name="Note 2 3 2 4 2" xfId="813"/>
    <cellStyle name="Note 2 3 2 5" xfId="520"/>
    <cellStyle name="Note 2 3 3" xfId="222"/>
    <cellStyle name="Note 2 3 3 2" xfId="552"/>
    <cellStyle name="Note 2 3 4" xfId="286"/>
    <cellStyle name="Note 2 3 4 2" xfId="584"/>
    <cellStyle name="Note 2 3 5" xfId="366"/>
    <cellStyle name="Note 2 3 5 2" xfId="727"/>
    <cellStyle name="Note 2 3 6" xfId="775"/>
    <cellStyle name="Note 2 3 7" xfId="488"/>
    <cellStyle name="Note 2 4" xfId="126"/>
    <cellStyle name="Note 2 4 2" xfId="158"/>
    <cellStyle name="Note 2 4 2 2" xfId="238"/>
    <cellStyle name="Note 2 4 2 2 2" xfId="743"/>
    <cellStyle name="Note 2 4 2 3" xfId="302"/>
    <cellStyle name="Note 2 4 2 3 2" xfId="686"/>
    <cellStyle name="Note 2 4 2 4" xfId="382"/>
    <cellStyle name="Note 2 4 2 4 2" xfId="814"/>
    <cellStyle name="Note 2 4 2 5" xfId="504"/>
    <cellStyle name="Note 2 4 3" xfId="206"/>
    <cellStyle name="Note 2 4 3 2" xfId="536"/>
    <cellStyle name="Note 2 4 4" xfId="270"/>
    <cellStyle name="Note 2 4 4 2" xfId="568"/>
    <cellStyle name="Note 2 4 5" xfId="350"/>
    <cellStyle name="Note 2 4 5 2" xfId="711"/>
    <cellStyle name="Note 2 4 6" xfId="688"/>
    <cellStyle name="Note 2 4 7" xfId="472"/>
    <cellStyle name="Note 2 5" xfId="448"/>
    <cellStyle name="Note 2 5 2" xfId="694"/>
    <cellStyle name="Note 2 6" xfId="659"/>
    <cellStyle name="Note 2 7" xfId="455"/>
    <cellStyle name="Note 3" xfId="108"/>
    <cellStyle name="Note 3 2" xfId="119"/>
    <cellStyle name="Note 3 2 2" xfId="151"/>
    <cellStyle name="Note 3 2 2 2" xfId="183"/>
    <cellStyle name="Note 3 2 2 2 2" xfId="263"/>
    <cellStyle name="Note 3 2 2 2 2 2" xfId="768"/>
    <cellStyle name="Note 3 2 2 2 3" xfId="327"/>
    <cellStyle name="Note 3 2 2 2 3 2" xfId="807"/>
    <cellStyle name="Note 3 2 2 2 4" xfId="407"/>
    <cellStyle name="Note 3 2 2 2 4 2" xfId="815"/>
    <cellStyle name="Note 3 2 2 2 5" xfId="529"/>
    <cellStyle name="Note 3 2 2 3" xfId="231"/>
    <cellStyle name="Note 3 2 2 3 2" xfId="561"/>
    <cellStyle name="Note 3 2 2 4" xfId="295"/>
    <cellStyle name="Note 3 2 2 4 2" xfId="593"/>
    <cellStyle name="Note 3 2 2 5" xfId="375"/>
    <cellStyle name="Note 3 2 2 5 2" xfId="736"/>
    <cellStyle name="Note 3 2 2 6" xfId="679"/>
    <cellStyle name="Note 3 2 2 7" xfId="497"/>
    <cellStyle name="Note 3 2 3" xfId="135"/>
    <cellStyle name="Note 3 2 3 2" xfId="167"/>
    <cellStyle name="Note 3 2 3 2 2" xfId="247"/>
    <cellStyle name="Note 3 2 3 2 2 2" xfId="752"/>
    <cellStyle name="Note 3 2 3 2 3" xfId="311"/>
    <cellStyle name="Note 3 2 3 2 3 2" xfId="657"/>
    <cellStyle name="Note 3 2 3 2 4" xfId="391"/>
    <cellStyle name="Note 3 2 3 2 4 2" xfId="816"/>
    <cellStyle name="Note 3 2 3 2 5" xfId="513"/>
    <cellStyle name="Note 3 2 3 3" xfId="215"/>
    <cellStyle name="Note 3 2 3 3 2" xfId="545"/>
    <cellStyle name="Note 3 2 3 4" xfId="279"/>
    <cellStyle name="Note 3 2 3 4 2" xfId="577"/>
    <cellStyle name="Note 3 2 3 5" xfId="359"/>
    <cellStyle name="Note 3 2 3 5 2" xfId="720"/>
    <cellStyle name="Note 3 2 3 6" xfId="772"/>
    <cellStyle name="Note 3 2 3 7" xfId="481"/>
    <cellStyle name="Note 3 2 4" xfId="704"/>
    <cellStyle name="Note 3 2 5" xfId="666"/>
    <cellStyle name="Note 3 2 6" xfId="465"/>
    <cellStyle name="Note 3 3" xfId="143"/>
    <cellStyle name="Note 3 3 2" xfId="175"/>
    <cellStyle name="Note 3 3 2 2" xfId="255"/>
    <cellStyle name="Note 3 3 2 2 2" xfId="760"/>
    <cellStyle name="Note 3 3 2 3" xfId="319"/>
    <cellStyle name="Note 3 3 2 3 2" xfId="799"/>
    <cellStyle name="Note 3 3 2 4" xfId="399"/>
    <cellStyle name="Note 3 3 2 4 2" xfId="817"/>
    <cellStyle name="Note 3 3 2 5" xfId="521"/>
    <cellStyle name="Note 3 3 3" xfId="223"/>
    <cellStyle name="Note 3 3 3 2" xfId="553"/>
    <cellStyle name="Note 3 3 4" xfId="287"/>
    <cellStyle name="Note 3 3 4 2" xfId="585"/>
    <cellStyle name="Note 3 3 5" xfId="367"/>
    <cellStyle name="Note 3 3 5 2" xfId="728"/>
    <cellStyle name="Note 3 3 6" xfId="778"/>
    <cellStyle name="Note 3 3 7" xfId="489"/>
    <cellStyle name="Note 3 4" xfId="127"/>
    <cellStyle name="Note 3 4 2" xfId="159"/>
    <cellStyle name="Note 3 4 2 2" xfId="239"/>
    <cellStyle name="Note 3 4 2 2 2" xfId="744"/>
    <cellStyle name="Note 3 4 2 3" xfId="303"/>
    <cellStyle name="Note 3 4 2 3 2" xfId="644"/>
    <cellStyle name="Note 3 4 2 4" xfId="383"/>
    <cellStyle name="Note 3 4 2 4 2" xfId="818"/>
    <cellStyle name="Note 3 4 2 5" xfId="505"/>
    <cellStyle name="Note 3 4 3" xfId="207"/>
    <cellStyle name="Note 3 4 3 2" xfId="537"/>
    <cellStyle name="Note 3 4 4" xfId="271"/>
    <cellStyle name="Note 3 4 4 2" xfId="569"/>
    <cellStyle name="Note 3 4 5" xfId="351"/>
    <cellStyle name="Note 3 4 5 2" xfId="712"/>
    <cellStyle name="Note 3 4 6" xfId="658"/>
    <cellStyle name="Note 3 4 7" xfId="473"/>
    <cellStyle name="Note 3 5" xfId="695"/>
    <cellStyle name="Note 3 6" xfId="699"/>
    <cellStyle name="Note 3 7" xfId="456"/>
    <cellStyle name="Note 4" xfId="109"/>
    <cellStyle name="Note 4 2" xfId="120"/>
    <cellStyle name="Note 4 2 2" xfId="152"/>
    <cellStyle name="Note 4 2 2 2" xfId="184"/>
    <cellStyle name="Note 4 2 2 2 2" xfId="264"/>
    <cellStyle name="Note 4 2 2 2 2 2" xfId="769"/>
    <cellStyle name="Note 4 2 2 2 3" xfId="328"/>
    <cellStyle name="Note 4 2 2 2 3 2" xfId="808"/>
    <cellStyle name="Note 4 2 2 2 4" xfId="408"/>
    <cellStyle name="Note 4 2 2 2 4 2" xfId="819"/>
    <cellStyle name="Note 4 2 2 2 5" xfId="530"/>
    <cellStyle name="Note 4 2 2 3" xfId="232"/>
    <cellStyle name="Note 4 2 2 3 2" xfId="562"/>
    <cellStyle name="Note 4 2 2 4" xfId="296"/>
    <cellStyle name="Note 4 2 2 4 2" xfId="594"/>
    <cellStyle name="Note 4 2 2 5" xfId="376"/>
    <cellStyle name="Note 4 2 2 5 2" xfId="737"/>
    <cellStyle name="Note 4 2 2 6" xfId="680"/>
    <cellStyle name="Note 4 2 2 7" xfId="498"/>
    <cellStyle name="Note 4 2 3" xfId="136"/>
    <cellStyle name="Note 4 2 3 2" xfId="168"/>
    <cellStyle name="Note 4 2 3 2 2" xfId="248"/>
    <cellStyle name="Note 4 2 3 2 2 2" xfId="753"/>
    <cellStyle name="Note 4 2 3 2 3" xfId="312"/>
    <cellStyle name="Note 4 2 3 2 3 2" xfId="654"/>
    <cellStyle name="Note 4 2 3 2 4" xfId="392"/>
    <cellStyle name="Note 4 2 3 2 4 2" xfId="820"/>
    <cellStyle name="Note 4 2 3 2 5" xfId="514"/>
    <cellStyle name="Note 4 2 3 3" xfId="216"/>
    <cellStyle name="Note 4 2 3 3 2" xfId="546"/>
    <cellStyle name="Note 4 2 3 4" xfId="280"/>
    <cellStyle name="Note 4 2 3 4 2" xfId="578"/>
    <cellStyle name="Note 4 2 3 5" xfId="360"/>
    <cellStyle name="Note 4 2 3 5 2" xfId="721"/>
    <cellStyle name="Note 4 2 3 6" xfId="670"/>
    <cellStyle name="Note 4 2 3 7" xfId="482"/>
    <cellStyle name="Note 4 2 4" xfId="705"/>
    <cellStyle name="Note 4 2 5" xfId="667"/>
    <cellStyle name="Note 4 2 6" xfId="466"/>
    <cellStyle name="Note 4 3" xfId="144"/>
    <cellStyle name="Note 4 3 2" xfId="176"/>
    <cellStyle name="Note 4 3 2 2" xfId="256"/>
    <cellStyle name="Note 4 3 2 2 2" xfId="761"/>
    <cellStyle name="Note 4 3 2 3" xfId="320"/>
    <cellStyle name="Note 4 3 2 3 2" xfId="800"/>
    <cellStyle name="Note 4 3 2 4" xfId="400"/>
    <cellStyle name="Note 4 3 2 4 2" xfId="821"/>
    <cellStyle name="Note 4 3 2 5" xfId="522"/>
    <cellStyle name="Note 4 3 3" xfId="224"/>
    <cellStyle name="Note 4 3 3 2" xfId="554"/>
    <cellStyle name="Note 4 3 4" xfId="288"/>
    <cellStyle name="Note 4 3 4 2" xfId="586"/>
    <cellStyle name="Note 4 3 5" xfId="368"/>
    <cellStyle name="Note 4 3 5 2" xfId="729"/>
    <cellStyle name="Note 4 3 6" xfId="773"/>
    <cellStyle name="Note 4 3 7" xfId="490"/>
    <cellStyle name="Note 4 4" xfId="128"/>
    <cellStyle name="Note 4 4 2" xfId="160"/>
    <cellStyle name="Note 4 4 2 2" xfId="240"/>
    <cellStyle name="Note 4 4 2 2 2" xfId="745"/>
    <cellStyle name="Note 4 4 2 3" xfId="304"/>
    <cellStyle name="Note 4 4 2 3 2" xfId="649"/>
    <cellStyle name="Note 4 4 2 4" xfId="384"/>
    <cellStyle name="Note 4 4 2 4 2" xfId="822"/>
    <cellStyle name="Note 4 4 2 5" xfId="506"/>
    <cellStyle name="Note 4 4 3" xfId="208"/>
    <cellStyle name="Note 4 4 3 2" xfId="538"/>
    <cellStyle name="Note 4 4 4" xfId="272"/>
    <cellStyle name="Note 4 4 4 2" xfId="570"/>
    <cellStyle name="Note 4 4 5" xfId="352"/>
    <cellStyle name="Note 4 4 5 2" xfId="713"/>
    <cellStyle name="Note 4 4 6" xfId="692"/>
    <cellStyle name="Note 4 4 7" xfId="474"/>
    <cellStyle name="Note 4 5" xfId="696"/>
    <cellStyle name="Note 4 6" xfId="662"/>
    <cellStyle name="Note 4 7" xfId="457"/>
    <cellStyle name="Note 5" xfId="106"/>
    <cellStyle name="Note 5 2" xfId="117"/>
    <cellStyle name="Note 5 2 2" xfId="149"/>
    <cellStyle name="Note 5 2 2 2" xfId="181"/>
    <cellStyle name="Note 5 2 2 2 2" xfId="261"/>
    <cellStyle name="Note 5 2 2 2 2 2" xfId="766"/>
    <cellStyle name="Note 5 2 2 2 3" xfId="325"/>
    <cellStyle name="Note 5 2 2 2 3 2" xfId="805"/>
    <cellStyle name="Note 5 2 2 2 4" xfId="405"/>
    <cellStyle name="Note 5 2 2 2 4 2" xfId="823"/>
    <cellStyle name="Note 5 2 2 2 5" xfId="527"/>
    <cellStyle name="Note 5 2 2 3" xfId="229"/>
    <cellStyle name="Note 5 2 2 3 2" xfId="559"/>
    <cellStyle name="Note 5 2 2 4" xfId="293"/>
    <cellStyle name="Note 5 2 2 4 2" xfId="591"/>
    <cellStyle name="Note 5 2 2 5" xfId="373"/>
    <cellStyle name="Note 5 2 2 5 2" xfId="734"/>
    <cellStyle name="Note 5 2 2 6" xfId="677"/>
    <cellStyle name="Note 5 2 2 7" xfId="495"/>
    <cellStyle name="Note 5 2 3" xfId="133"/>
    <cellStyle name="Note 5 2 3 2" xfId="165"/>
    <cellStyle name="Note 5 2 3 2 2" xfId="245"/>
    <cellStyle name="Note 5 2 3 2 2 2" xfId="750"/>
    <cellStyle name="Note 5 2 3 2 3" xfId="309"/>
    <cellStyle name="Note 5 2 3 2 3 2" xfId="650"/>
    <cellStyle name="Note 5 2 3 2 4" xfId="389"/>
    <cellStyle name="Note 5 2 3 2 4 2" xfId="824"/>
    <cellStyle name="Note 5 2 3 2 5" xfId="511"/>
    <cellStyle name="Note 5 2 3 3" xfId="213"/>
    <cellStyle name="Note 5 2 3 3 2" xfId="543"/>
    <cellStyle name="Note 5 2 3 4" xfId="277"/>
    <cellStyle name="Note 5 2 3 4 2" xfId="575"/>
    <cellStyle name="Note 5 2 3 5" xfId="357"/>
    <cellStyle name="Note 5 2 3 5 2" xfId="718"/>
    <cellStyle name="Note 5 2 3 6" xfId="643"/>
    <cellStyle name="Note 5 2 3 7" xfId="479"/>
    <cellStyle name="Note 5 2 4" xfId="702"/>
    <cellStyle name="Note 5 2 5" xfId="664"/>
    <cellStyle name="Note 5 2 6" xfId="463"/>
    <cellStyle name="Note 5 3" xfId="141"/>
    <cellStyle name="Note 5 3 2" xfId="173"/>
    <cellStyle name="Note 5 3 2 2" xfId="253"/>
    <cellStyle name="Note 5 3 2 2 2" xfId="758"/>
    <cellStyle name="Note 5 3 2 3" xfId="317"/>
    <cellStyle name="Note 5 3 2 3 2" xfId="797"/>
    <cellStyle name="Note 5 3 2 4" xfId="397"/>
    <cellStyle name="Note 5 3 2 4 2" xfId="825"/>
    <cellStyle name="Note 5 3 2 5" xfId="519"/>
    <cellStyle name="Note 5 3 3" xfId="221"/>
    <cellStyle name="Note 5 3 3 2" xfId="551"/>
    <cellStyle name="Note 5 3 4" xfId="285"/>
    <cellStyle name="Note 5 3 4 2" xfId="583"/>
    <cellStyle name="Note 5 3 5" xfId="365"/>
    <cellStyle name="Note 5 3 5 2" xfId="726"/>
    <cellStyle name="Note 5 3 6" xfId="776"/>
    <cellStyle name="Note 5 3 7" xfId="487"/>
    <cellStyle name="Note 5 4" xfId="125"/>
    <cellStyle name="Note 5 4 2" xfId="157"/>
    <cellStyle name="Note 5 4 2 2" xfId="237"/>
    <cellStyle name="Note 5 4 2 2 2" xfId="742"/>
    <cellStyle name="Note 5 4 2 3" xfId="301"/>
    <cellStyle name="Note 5 4 2 3 2" xfId="684"/>
    <cellStyle name="Note 5 4 2 4" xfId="381"/>
    <cellStyle name="Note 5 4 2 4 2" xfId="826"/>
    <cellStyle name="Note 5 4 2 5" xfId="503"/>
    <cellStyle name="Note 5 4 3" xfId="205"/>
    <cellStyle name="Note 5 4 3 2" xfId="535"/>
    <cellStyle name="Note 5 4 4" xfId="269"/>
    <cellStyle name="Note 5 4 4 2" xfId="567"/>
    <cellStyle name="Note 5 4 5" xfId="349"/>
    <cellStyle name="Note 5 4 5 2" xfId="710"/>
    <cellStyle name="Note 5 4 6" xfId="691"/>
    <cellStyle name="Note 5 4 7" xfId="471"/>
    <cellStyle name="Note 5 5" xfId="693"/>
    <cellStyle name="Note 5 6" xfId="690"/>
    <cellStyle name="Note 5 7" xfId="454"/>
    <cellStyle name="Output" xfId="10" builtinId="21" customBuiltin="1"/>
    <cellStyle name="Output 2" xfId="110"/>
    <cellStyle name="Output 2 2" xfId="121"/>
    <cellStyle name="Output 2 2 2" xfId="153"/>
    <cellStyle name="Output 2 2 2 2" xfId="185"/>
    <cellStyle name="Output 2 2 2 2 2" xfId="265"/>
    <cellStyle name="Output 2 2 2 2 2 2" xfId="770"/>
    <cellStyle name="Output 2 2 2 2 2 2 2" xfId="828"/>
    <cellStyle name="Output 2 2 2 2 2 3" xfId="827"/>
    <cellStyle name="Output 2 2 2 2 3" xfId="329"/>
    <cellStyle name="Output 2 2 2 2 3 2" xfId="793"/>
    <cellStyle name="Output 2 2 2 2 4" xfId="409"/>
    <cellStyle name="Output 2 2 2 2 4 2" xfId="809"/>
    <cellStyle name="Output 2 2 2 2 4 2 2" xfId="830"/>
    <cellStyle name="Output 2 2 2 2 4 3" xfId="829"/>
    <cellStyle name="Output 2 2 2 2 5" xfId="531"/>
    <cellStyle name="Output 2 2 2 3" xfId="233"/>
    <cellStyle name="Output 2 2 2 3 2" xfId="563"/>
    <cellStyle name="Output 2 2 2 4" xfId="297"/>
    <cellStyle name="Output 2 2 2 4 2" xfId="595"/>
    <cellStyle name="Output 2 2 2 5" xfId="377"/>
    <cellStyle name="Output 2 2 2 5 2" xfId="738"/>
    <cellStyle name="Output 2 2 2 5 2 2" xfId="832"/>
    <cellStyle name="Output 2 2 2 5 3" xfId="831"/>
    <cellStyle name="Output 2 2 2 6" xfId="681"/>
    <cellStyle name="Output 2 2 2 6 2" xfId="833"/>
    <cellStyle name="Output 2 2 2 7" xfId="499"/>
    <cellStyle name="Output 2 2 3" xfId="137"/>
    <cellStyle name="Output 2 2 3 2" xfId="169"/>
    <cellStyle name="Output 2 2 3 2 2" xfId="249"/>
    <cellStyle name="Output 2 2 3 2 2 2" xfId="754"/>
    <cellStyle name="Output 2 2 3 2 2 2 2" xfId="835"/>
    <cellStyle name="Output 2 2 3 2 2 3" xfId="834"/>
    <cellStyle name="Output 2 2 3 2 3" xfId="313"/>
    <cellStyle name="Output 2 2 3 2 3 2" xfId="785"/>
    <cellStyle name="Output 2 2 3 2 4" xfId="393"/>
    <cellStyle name="Output 2 2 3 2 4 2" xfId="660"/>
    <cellStyle name="Output 2 2 3 2 4 2 2" xfId="837"/>
    <cellStyle name="Output 2 2 3 2 4 3" xfId="836"/>
    <cellStyle name="Output 2 2 3 2 5" xfId="515"/>
    <cellStyle name="Output 2 2 3 3" xfId="217"/>
    <cellStyle name="Output 2 2 3 3 2" xfId="547"/>
    <cellStyle name="Output 2 2 3 4" xfId="281"/>
    <cellStyle name="Output 2 2 3 4 2" xfId="579"/>
    <cellStyle name="Output 2 2 3 5" xfId="361"/>
    <cellStyle name="Output 2 2 3 5 2" xfId="722"/>
    <cellStyle name="Output 2 2 3 5 2 2" xfId="839"/>
    <cellStyle name="Output 2 2 3 5 3" xfId="838"/>
    <cellStyle name="Output 2 2 3 6" xfId="701"/>
    <cellStyle name="Output 2 2 3 6 2" xfId="840"/>
    <cellStyle name="Output 2 2 3 7" xfId="483"/>
    <cellStyle name="Output 2 2 4" xfId="706"/>
    <cellStyle name="Output 2 2 4 2" xfId="841"/>
    <cellStyle name="Output 2 2 5" xfId="668"/>
    <cellStyle name="Output 2 2 5 2" xfId="842"/>
    <cellStyle name="Output 2 2 6" xfId="467"/>
    <cellStyle name="Output 2 3" xfId="145"/>
    <cellStyle name="Output 2 3 2" xfId="177"/>
    <cellStyle name="Output 2 3 2 2" xfId="257"/>
    <cellStyle name="Output 2 3 2 2 2" xfId="762"/>
    <cellStyle name="Output 2 3 2 2 2 2" xfId="844"/>
    <cellStyle name="Output 2 3 2 2 3" xfId="843"/>
    <cellStyle name="Output 2 3 2 3" xfId="321"/>
    <cellStyle name="Output 2 3 2 3 2" xfId="789"/>
    <cellStyle name="Output 2 3 2 4" xfId="401"/>
    <cellStyle name="Output 2 3 2 4 2" xfId="801"/>
    <cellStyle name="Output 2 3 2 4 2 2" xfId="846"/>
    <cellStyle name="Output 2 3 2 4 3" xfId="845"/>
    <cellStyle name="Output 2 3 2 5" xfId="523"/>
    <cellStyle name="Output 2 3 3" xfId="225"/>
    <cellStyle name="Output 2 3 3 2" xfId="555"/>
    <cellStyle name="Output 2 3 4" xfId="289"/>
    <cellStyle name="Output 2 3 4 2" xfId="587"/>
    <cellStyle name="Output 2 3 5" xfId="369"/>
    <cellStyle name="Output 2 3 5 2" xfId="730"/>
    <cellStyle name="Output 2 3 5 2 2" xfId="848"/>
    <cellStyle name="Output 2 3 5 3" xfId="847"/>
    <cellStyle name="Output 2 3 6" xfId="673"/>
    <cellStyle name="Output 2 3 6 2" xfId="849"/>
    <cellStyle name="Output 2 3 7" xfId="491"/>
    <cellStyle name="Output 2 4" xfId="129"/>
    <cellStyle name="Output 2 4 2" xfId="161"/>
    <cellStyle name="Output 2 4 2 2" xfId="241"/>
    <cellStyle name="Output 2 4 2 2 2" xfId="746"/>
    <cellStyle name="Output 2 4 2 2 2 2" xfId="851"/>
    <cellStyle name="Output 2 4 2 2 3" xfId="850"/>
    <cellStyle name="Output 2 4 2 3" xfId="305"/>
    <cellStyle name="Output 2 4 2 3 2" xfId="781"/>
    <cellStyle name="Output 2 4 2 4" xfId="385"/>
    <cellStyle name="Output 2 4 2 4 2" xfId="652"/>
    <cellStyle name="Output 2 4 2 4 2 2" xfId="853"/>
    <cellStyle name="Output 2 4 2 4 3" xfId="852"/>
    <cellStyle name="Output 2 4 2 5" xfId="507"/>
    <cellStyle name="Output 2 4 3" xfId="209"/>
    <cellStyle name="Output 2 4 3 2" xfId="539"/>
    <cellStyle name="Output 2 4 4" xfId="273"/>
    <cellStyle name="Output 2 4 4 2" xfId="571"/>
    <cellStyle name="Output 2 4 5" xfId="353"/>
    <cellStyle name="Output 2 4 5 2" xfId="714"/>
    <cellStyle name="Output 2 4 5 2 2" xfId="855"/>
    <cellStyle name="Output 2 4 5 3" xfId="854"/>
    <cellStyle name="Output 2 4 6" xfId="651"/>
    <cellStyle name="Output 2 4 6 2" xfId="856"/>
    <cellStyle name="Output 2 4 7" xfId="475"/>
    <cellStyle name="Output 2 5" xfId="697"/>
    <cellStyle name="Output 2 5 2" xfId="857"/>
    <cellStyle name="Output 2 6" xfId="663"/>
    <cellStyle name="Output 2 6 2" xfId="858"/>
    <cellStyle name="Output 2 7" xfId="458"/>
    <cellStyle name="Percent 2" xfId="634"/>
    <cellStyle name="Percent 2 2" xfId="635"/>
    <cellStyle name="Percent 2 3" xfId="636"/>
    <cellStyle name="Percent 2 4" xfId="637"/>
    <cellStyle name="Percent 2 5" xfId="638"/>
    <cellStyle name="Percent 3" xfId="639"/>
    <cellStyle name="Percent 3 2" xfId="640"/>
    <cellStyle name="Percent 4" xfId="641"/>
    <cellStyle name="Percent 5" xfId="633"/>
    <cellStyle name="Title" xfId="1" builtinId="15" customBuiltin="1"/>
    <cellStyle name="Title 2" xfId="111"/>
    <cellStyle name="Total" xfId="16" builtinId="25" customBuiltin="1"/>
    <cellStyle name="Total 2" xfId="112"/>
    <cellStyle name="Total 2 2" xfId="122"/>
    <cellStyle name="Total 2 2 2" xfId="154"/>
    <cellStyle name="Total 2 2 2 2" xfId="186"/>
    <cellStyle name="Total 2 2 2 2 2" xfId="266"/>
    <cellStyle name="Total 2 2 2 2 2 2" xfId="771"/>
    <cellStyle name="Total 2 2 2 2 3" xfId="330"/>
    <cellStyle name="Total 2 2 2 2 3 2" xfId="794"/>
    <cellStyle name="Total 2 2 2 2 4" xfId="410"/>
    <cellStyle name="Total 2 2 2 2 4 2" xfId="810"/>
    <cellStyle name="Total 2 2 2 2 5" xfId="532"/>
    <cellStyle name="Total 2 2 2 3" xfId="234"/>
    <cellStyle name="Total 2 2 2 3 2" xfId="564"/>
    <cellStyle name="Total 2 2 2 4" xfId="298"/>
    <cellStyle name="Total 2 2 2 4 2" xfId="596"/>
    <cellStyle name="Total 2 2 2 5" xfId="378"/>
    <cellStyle name="Total 2 2 2 5 2" xfId="739"/>
    <cellStyle name="Total 2 2 2 6" xfId="682"/>
    <cellStyle name="Total 2 2 2 7" xfId="500"/>
    <cellStyle name="Total 2 2 3" xfId="138"/>
    <cellStyle name="Total 2 2 3 2" xfId="170"/>
    <cellStyle name="Total 2 2 3 2 2" xfId="250"/>
    <cellStyle name="Total 2 2 3 2 2 2" xfId="755"/>
    <cellStyle name="Total 2 2 3 2 3" xfId="314"/>
    <cellStyle name="Total 2 2 3 2 3 2" xfId="786"/>
    <cellStyle name="Total 2 2 3 2 4" xfId="394"/>
    <cellStyle name="Total 2 2 3 2 4 2" xfId="685"/>
    <cellStyle name="Total 2 2 3 2 5" xfId="516"/>
    <cellStyle name="Total 2 2 3 3" xfId="218"/>
    <cellStyle name="Total 2 2 3 3 2" xfId="548"/>
    <cellStyle name="Total 2 2 3 4" xfId="282"/>
    <cellStyle name="Total 2 2 3 4 2" xfId="580"/>
    <cellStyle name="Total 2 2 3 5" xfId="362"/>
    <cellStyle name="Total 2 2 3 5 2" xfId="723"/>
    <cellStyle name="Total 2 2 3 6" xfId="653"/>
    <cellStyle name="Total 2 2 3 7" xfId="484"/>
    <cellStyle name="Total 2 2 4" xfId="707"/>
    <cellStyle name="Total 2 2 5" xfId="669"/>
    <cellStyle name="Total 2 2 6" xfId="468"/>
    <cellStyle name="Total 2 3" xfId="146"/>
    <cellStyle name="Total 2 3 2" xfId="178"/>
    <cellStyle name="Total 2 3 2 2" xfId="258"/>
    <cellStyle name="Total 2 3 2 2 2" xfId="763"/>
    <cellStyle name="Total 2 3 2 3" xfId="322"/>
    <cellStyle name="Total 2 3 2 3 2" xfId="790"/>
    <cellStyle name="Total 2 3 2 4" xfId="402"/>
    <cellStyle name="Total 2 3 2 4 2" xfId="802"/>
    <cellStyle name="Total 2 3 2 5" xfId="524"/>
    <cellStyle name="Total 2 3 3" xfId="226"/>
    <cellStyle name="Total 2 3 3 2" xfId="556"/>
    <cellStyle name="Total 2 3 4" xfId="290"/>
    <cellStyle name="Total 2 3 4 2" xfId="588"/>
    <cellStyle name="Total 2 3 5" xfId="370"/>
    <cellStyle name="Total 2 3 5 2" xfId="731"/>
    <cellStyle name="Total 2 3 6" xfId="674"/>
    <cellStyle name="Total 2 3 7" xfId="492"/>
    <cellStyle name="Total 2 4" xfId="130"/>
    <cellStyle name="Total 2 4 2" xfId="162"/>
    <cellStyle name="Total 2 4 2 2" xfId="242"/>
    <cellStyle name="Total 2 4 2 2 2" xfId="747"/>
    <cellStyle name="Total 2 4 2 3" xfId="306"/>
    <cellStyle name="Total 2 4 2 3 2" xfId="782"/>
    <cellStyle name="Total 2 4 2 4" xfId="386"/>
    <cellStyle name="Total 2 4 2 4 2" xfId="647"/>
    <cellStyle name="Total 2 4 2 5" xfId="508"/>
    <cellStyle name="Total 2 4 3" xfId="210"/>
    <cellStyle name="Total 2 4 3 2" xfId="540"/>
    <cellStyle name="Total 2 4 4" xfId="274"/>
    <cellStyle name="Total 2 4 4 2" xfId="572"/>
    <cellStyle name="Total 2 4 5" xfId="354"/>
    <cellStyle name="Total 2 4 5 2" xfId="715"/>
    <cellStyle name="Total 2 4 6" xfId="689"/>
    <cellStyle name="Total 2 4 7" xfId="476"/>
    <cellStyle name="Total 2 5" xfId="698"/>
    <cellStyle name="Total 2 6" xfId="777"/>
    <cellStyle name="Total 2 7" xfId="459"/>
    <cellStyle name="Warning Text" xfId="14" builtinId="11" customBuiltin="1"/>
    <cellStyle name="Warning Text 2" xfId="113"/>
  </cellStyles>
  <dxfs count="23">
    <dxf>
      <numFmt numFmtId="167" formatCode="0.0000"/>
      <alignment horizontal="center" vertical="center" textRotation="0" wrapText="0" indent="0" justifyLastLine="0" shrinkToFit="0" readingOrder="0"/>
    </dxf>
    <dxf>
      <numFmt numFmtId="167" formatCode="0.000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numFmt numFmtId="166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OP_SCADA">
    <ddeItems>
      <ddeItem name="ATHENA_DataLeakTest[0,0],L32,C4" advise="1">
        <values rows="8" cols="4">
          <value>
            <val>7</val>
          </value>
          <value>
            <val>2</val>
          </value>
          <value>
            <val>0</val>
          </value>
          <value>
            <val>0</val>
          </value>
          <value>
            <val>-0.78320500000000004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7</val>
          </value>
          <value>
            <val>2</val>
          </value>
          <value>
            <val>0</val>
          </value>
          <value>
            <val>0</val>
          </value>
          <value>
            <val>8.8754019999999993</val>
          </value>
          <value>
            <val>0</val>
          </value>
          <value>
            <val>0</val>
          </value>
          <value>
            <val>0</val>
          </value>
        </values>
      </ddeItem>
      <ddeItem name="ATHENA2_DataLeakTest[0,0],L32,C4" advise="1">
        <values rows="8" cols="4">
          <value>
            <val>4</val>
          </value>
          <value>
            <val>24</val>
          </value>
          <value>
            <val>0</val>
          </value>
          <value>
            <val>0</val>
          </value>
          <value>
            <val>-0.79779239999999996</val>
          </value>
          <value>
            <val>-1.158568</val>
          </value>
          <value>
            <val>-1.3040989999999999</val>
          </value>
          <value>
            <val>-1.434571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3</val>
          </value>
          <value>
            <val>24</val>
          </value>
          <value>
            <val>0</val>
          </value>
          <value>
            <val>0</val>
          </value>
          <value>
            <val>7.6483720000000002</val>
          </value>
          <value>
            <val>7.6437210000000002</val>
          </value>
          <value>
            <val>7.2696899999999998</val>
          </value>
          <value>
            <val>6.9280739999999996</val>
          </value>
        </values>
      </ddeItem>
      <ddeItem name="Program:CLNRM1_MULTI.Data_LeakTest[0],L8,C1" advise="1">
        <values rows="8">
          <value>
            <val>295</val>
          </value>
          <value>
            <val>6.842821E-40</val>
          </value>
          <value>
            <val>0.42899609999999999</val>
          </value>
          <value>
            <val>6.7262330000000004E-44</val>
          </value>
          <value>
            <val>3.363116E-44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1_MULTI.Data_PartType.String.DATA[0],L82,C82" advise="1">
        <values cols="82">
          <value>
            <val>88</val>
          </value>
          <value>
            <val>49</val>
          </value>
          <value>
            <val>52</val>
          </value>
          <value>
            <val>51</val>
          </value>
          <value>
            <val>56</val>
          </value>
          <value>
            <val>82</val>
          </value>
          <value>
            <val>70</val>
          </value>
          <value>
            <val>50</val>
          </value>
          <value>
            <val>76</val>
          </value>
          <value>
            <val>45</val>
          </value>
          <value>
            <val>48</val>
          </value>
          <value>
            <val>49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1_MULTI_2.Data_LeakTest[0,0],L32,C4" advise="1">
        <values rows="8" cols="4">
          <value>
            <val>3</val>
          </value>
          <value>
            <val>0</val>
          </value>
          <value>
            <val>0</val>
          </value>
          <value>
            <val>0</val>
          </value>
          <value>
            <val>-3.330435</val>
          </value>
          <value>
            <val>-4.0040990000000001</val>
          </value>
          <value>
            <val>-3.3706909999999999</val>
          </value>
          <value>
            <val>-2.987501</val>
          </value>
          <value>
            <val>0.95757479999999995</val>
          </value>
          <value>
            <val>1.2614609999999999</val>
          </value>
          <value>
            <val>1.086293</val>
          </value>
          <value>
            <val>1.006173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-0.27993269999999998</val>
          </value>
          <value>
            <val>0</val>
          </value>
          <value>
            <val>0</val>
          </value>
          <value>
            <val>0</val>
          </value>
          <value>
            <val>-5.1172820000000001E-2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1_MULTI_2.Data_PartType_Multi2.String.DATA[0],L82,C82" advise="1">
        <values cols="82"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4_ECOLAB_2.Data_LeakTest[0,0],L32,C4" advise="1">
        <values rows="8" cols="4">
          <value>
            <val>15</val>
          </value>
          <value>
            <val>0</val>
          </value>
          <value>
            <val>0</val>
          </value>
          <value>
            <val>0</val>
          </value>
          <value>
            <val>-2.7594530000000002</val>
          </value>
          <value>
            <val>-2.9830109999999999</val>
          </value>
          <value>
            <val>-2.8455940000000002</val>
          </value>
          <value>
            <val>-3.4119549999999998</val>
          </value>
          <value>
            <val>1.2664070000000001</val>
          </value>
          <value>
            <val>1.428474</val>
          </value>
          <value>
            <val>1.0811900000000001</val>
          </value>
          <value>
            <val>1.1865600000000001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-0.27993269999999998</val>
          </value>
          <value>
            <val>0</val>
          </value>
          <value>
            <val>0</val>
          </value>
          <value>
            <val>0</val>
          </value>
          <value>
            <val>-5.1172820000000001E-2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4_ECOLAB_2.Data_PartType_Ecolab2.String.DATA[0],L82,C82" advise="1">
        <values cols="82">
          <value>
            <val>88</val>
          </value>
          <value>
            <val>49</val>
          </value>
          <value>
            <val>50</val>
          </value>
          <value>
            <val>51</val>
          </value>
          <value>
            <val>56</val>
          </value>
          <value>
            <val>76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4_NESSIE.Data_LeakTest[0,0],L32,C4" advise="1">
        <values rows="8" cols="4"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9999</val>
          </value>
          <value>
            <val>0</val>
          </value>
          <value>
            <val>0</val>
          </value>
          <value>
            <val>0</val>
          </value>
          <value>
            <val>9999</val>
          </value>
          <value>
            <val>0</val>
          </value>
          <value>
            <val>0</val>
          </value>
          <value>
            <val>0</val>
          </value>
          <value>
            <val>-0.56835290000000005</val>
          </value>
          <value>
            <val>0</val>
          </value>
          <value>
            <val>0</val>
          </value>
          <value>
            <val>0</val>
          </value>
          <value>
            <val>-0.36502459999999998</val>
          </value>
          <value>
            <val>0</val>
          </value>
          <value>
            <val>0</val>
          </value>
          <value>
            <val>0</val>
          </value>
          <value>
            <val>-0.20332839999999999</val>
          </value>
          <value>
            <val>0</val>
          </value>
          <value>
            <val>0</val>
          </value>
          <value>
            <val>0</val>
          </value>
          <value>
            <val>0.162801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4_NESSIE.Data_PartType.String.DATA[0],L82,C82" advise="1">
        <values cols="82">
          <value>
            <val>88</val>
          </value>
          <value>
            <val>48</val>
          </value>
          <value>
            <val>57</val>
          </value>
          <value>
            <val>53</val>
          </value>
          <value>
            <val>49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5_ECOLAB.Data_LeakTest[0,0],L32,C4" advise="1">
        <values rows="8" cols="4">
          <value>
            <val>20</val>
          </value>
          <value>
            <val>0</val>
          </value>
          <value>
            <val>0</val>
          </value>
          <value>
            <val>0</val>
          </value>
          <value>
            <val>6.9121959999999998</val>
          </value>
          <value>
            <val>7.1591529999999999</val>
          </value>
          <value>
            <val>7.1462919999999999</val>
          </value>
          <value>
            <val>7.2333670000000003</val>
          </value>
          <value>
            <val>-1.6187549999999999</val>
          </value>
          <value>
            <val>-2.144018</val>
          </value>
          <value>
            <val>-2.196529</val>
          </value>
          <value>
            <val>-1.898687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5_ECOLAB.Data_PartType.String.DATA[0],L82,C82" advise="1">
        <values cols="82">
          <value>
            <val>88</val>
          </value>
          <value>
            <val>49</val>
          </value>
          <value>
            <val>53</val>
          </value>
          <value>
            <val>51</val>
          </value>
          <value>
            <val>56</val>
          </value>
          <value>
            <val>70</val>
          </value>
          <value>
            <val>45</val>
          </value>
          <value>
            <val>48</val>
          </value>
          <value>
            <val>49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6_FCB.Data_LeakTest[0,0],L32,C4" advise="1">
        <values rows="8" cols="4">
          <value>
            <val>29</val>
          </value>
          <value>
            <val>0</val>
          </value>
          <value>
            <val>0</val>
          </value>
          <value>
            <val>0</val>
          </value>
          <value>
            <val>-1.2488220000000001</val>
          </value>
          <value>
            <val>-1.162485</val>
          </value>
          <value>
            <val>0</val>
          </value>
          <value>
            <val>0</val>
          </value>
          <value>
            <val>2.6101030000000001</val>
          </value>
          <value>
            <val>2.1488809999999998</val>
          </value>
          <value>
            <val>0</val>
          </value>
          <value>
            <val>0</val>
          </value>
          <value>
            <val>-1.5281260000000001</val>
          </value>
          <value>
            <val>-1.5612509999999999</val>
          </value>
          <value>
            <val>5</val>
          </value>
          <value>
            <val>6</val>
          </value>
          <value>
            <val>4.7499659999999999E-2</val>
          </value>
          <value>
            <val>-1.312542E-2</val>
          </value>
          <value>
            <val>4.5000079999999998E-2</val>
          </value>
          <value>
            <val>-3.1251909999999998E-3</val>
          </value>
          <value>
            <val>3.1251909999999998E-3</val>
          </value>
          <value>
            <val>8.749962E-3</val>
          </value>
          <value>
            <val>2.0000460000000001E-2</val>
          </value>
          <value>
            <val>6.875038E-3</val>
          </value>
          <value>
            <val>5.0995030000000003</val>
          </value>
          <value>
            <val>1.865669</val>
          </value>
          <value>
            <val>10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6_FCB.Data_PartType.String.DATA[0],L82,C82" advise="1">
        <values cols="82">
          <value>
            <val>88</val>
          </value>
          <value>
            <val>49</val>
          </value>
          <value>
            <val>52</val>
          </value>
          <value>
            <val>51</val>
          </value>
          <value>
            <val>56</val>
          </value>
          <value>
            <val>70</val>
          </value>
          <value>
            <val>67</val>
          </value>
          <value>
            <val>66</val>
          </value>
          <value>
            <val>45</val>
          </value>
          <value>
            <val>52</val>
          </value>
          <value>
            <val>86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7_ATHENA.Data_PartType.String.DATA[0],L82,C82" advise="1">
        <values cols="82">
          <value>
            <val>88</val>
          </value>
          <value>
            <val>49</val>
          </value>
          <value>
            <val>52</val>
          </value>
          <value>
            <val>48</val>
          </value>
          <value>
            <val>54</val>
          </value>
          <value>
            <val>77</val>
          </value>
          <value>
            <val>70</val>
          </value>
          <value>
            <val>45</val>
          </value>
          <value>
            <val>48</val>
          </value>
          <value>
            <val>49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7_ATHENA2.Data_PartType.String.DATA[0],L82,C82" advise="1">
        <values cols="82">
          <value>
            <val>88</val>
          </value>
          <value>
            <val>49</val>
          </value>
          <value>
            <val>53</val>
          </value>
          <value>
            <val>52</val>
          </value>
          <value>
            <val>52</val>
          </value>
          <value>
            <val>70</val>
          </value>
          <value>
            <val>45</val>
          </value>
          <value>
            <val>78</val>
          </value>
          <value>
            <val>51</val>
          </value>
          <value>
            <val>78</val>
          </value>
          <value>
            <val>55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9_LVA_4.Data_LeakTest_BTF[0,0],L32,C4" advise="1">
        <values rows="8" cols="4"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-0.85031509999999999</val>
          </value>
          <value>
            <val>-0.86037830000000004</val>
          </value>
          <value>
            <val>0</val>
          </value>
          <value>
            <val>0</val>
          </value>
          <value>
            <val>4.6425289999999997</val>
          </value>
          <value>
            <val>4.4792230000000002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9_LVA_4.Data_PartType.String.DATA[0],L82,C82" advise="1">
        <values cols="82">
          <value>
            <val>88</val>
          </value>
          <value>
            <val>49</val>
          </value>
          <value>
            <val>53</val>
          </value>
          <value>
            <val>51</val>
          </value>
          <value>
            <val>56</val>
          </value>
          <value>
            <val>70</val>
          </value>
          <value>
            <val>45</val>
          </value>
          <value>
            <val>48</val>
          </value>
          <value>
            <val>49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9_X10.Data_LeakTest[0,0],L32,C4" advise="1">
        <values rows="8" cols="4"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4.2153330000000002</val>
          </value>
          <value>
            <val>4.1679069999999996</val>
          </value>
          <value>
            <val>-0.77578559999999996</val>
          </value>
          <value>
            <val>-0.83753999999999995</val>
          </value>
          <value>
            <val>0.73683909999999997</val>
          </value>
          <value>
            <val>0.44520280000000001</val>
          </value>
          <value>
            <val>0.88965309999999997</val>
          </value>
          <value>
            <val>0.83018360000000002</val>
          </value>
          <value>
            <val>4.1842730000000001</val>
          </value>
          <value>
            <val>4.1493520000000004</val>
          </value>
          <value>
            <val>-0.76888380000000001</val>
          </value>
          <value>
            <val>-0.83058690000000002</val>
          </value>
          <value>
            <val>-0.80476309999999995</val>
          </value>
          <value>
            <val>-0.78796299999999997</val>
          </value>
          <value>
            <val>4.2066749999999997</val>
          </value>
          <value>
            <val>4.1020899999999996</val>
          </value>
          <value>
            <val>3.270311</val>
          </value>
          <value>
            <val>1.3955029999999999</val>
          </value>
          <value>
            <val>0.65262710000000002</val>
          </value>
          <value>
            <val>0.40848770000000001</val>
          </value>
          <value>
            <val>-0.77844480000000005</val>
          </value>
          <value>
            <val>-0.77844480000000005</val>
          </value>
          <value>
            <val>4.1792210000000001</val>
          </value>
          <value>
            <val>4.0853330000000003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Program:CLNRM9_X10.Data_PartType_X10_Tester.String.DATA[0],L82,C82" advise="1">
        <values cols="82">
          <value>
            <val>88</val>
          </value>
          <value>
            <val>52</val>
          </value>
          <value>
            <val>53</val>
          </value>
          <value>
            <val>77</val>
          </value>
          <value>
            <val>86</val>
          </value>
          <value>
            <val>49</val>
          </value>
          <value>
            <val>53</val>
          </value>
          <value>
            <val>67</val>
          </value>
          <value>
            <val>78</val>
          </value>
          <value>
            <val>86</val>
          </value>
          <value>
            <val>45</val>
          </value>
          <value>
            <val>78</val>
          </value>
          <value>
            <val>49</val>
          </value>
          <value>
            <val>50</val>
          </value>
          <value>
            <val>52</val>
          </value>
          <value>
            <val>54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</values>
      </ddeItem>
      <ddeItem name="StdDocumentName" ole="1" advise="1"/>
    </ddeItems>
  </ddeLink>
</externalLink>
</file>

<file path=xl/tables/table1.xml><?xml version="1.0" encoding="utf-8"?>
<table xmlns="http://schemas.openxmlformats.org/spreadsheetml/2006/main" id="1" name="Table1" displayName="Table1" ref="A1:T33" totalsRowShown="0" headerRowDxfId="22" dataDxfId="20" headerRowBorderDxfId="21">
  <autoFilter ref="A1:T33"/>
  <tableColumns count="20">
    <tableColumn id="1" name="Machine" dataDxfId="19"/>
    <tableColumn id="2" name="Part" dataDxfId="18"/>
    <tableColumn id="3" name="Pallet" dataDxfId="17"/>
    <tableColumn id="4" name="Nest" dataDxfId="16"/>
    <tableColumn id="5" name="Pressure" dataDxfId="15"/>
    <tableColumn id="6" name="Vacuum" dataDxfId="14"/>
    <tableColumn id="9" name="FCB_LowVacuum" dataDxfId="13"/>
    <tableColumn id="15" name="VentTestPeak" dataDxfId="12">
      <calculatedColumnFormula>'Live Data'!A32</calculatedColumnFormula>
    </tableColumn>
    <tableColumn id="16" name="VentTestFinal" dataDxfId="11">
      <calculatedColumnFormula>'Live Data'!A33</calculatedColumnFormula>
    </tableColumn>
    <tableColumn id="17" name="Cell_50_Pressure" dataDxfId="10">
      <calculatedColumnFormula>'Live Data'!A40</calculatedColumnFormula>
    </tableColumn>
    <tableColumn id="18" name="Cell_80_Pressure" dataDxfId="9">
      <calculatedColumnFormula>'Live Data'!A42</calculatedColumnFormula>
    </tableColumn>
    <tableColumn id="19" name="Cell_80_Vacuum" dataDxfId="8">
      <calculatedColumnFormula>'Live Data'!A43</calculatedColumnFormula>
    </tableColumn>
    <tableColumn id="8" name="FCB_VentValve" dataDxfId="7"/>
    <tableColumn id="7" name="FCB_PreVacuum" dataDxfId="6"/>
    <tableColumn id="11" name="VacuumFinal" dataDxfId="5"/>
    <tableColumn id="10" name="PressureFinal" dataDxfId="4"/>
    <tableColumn id="12" name="Pressure_Percent_Decay" dataDxfId="3"/>
    <tableColumn id="13" name="Vacuum_Percent_Decay" dataDxfId="2"/>
    <tableColumn id="20" name="Sum" dataDxfId="1" dataCellStyle="Bad">
      <calculatedColumnFormula>SUM(Table1[[#This Row],[Pallet]:[Vacuum_Percent_Decay]])</calculatedColumnFormula>
    </tableColumn>
    <tableColumn id="14" name="OldSum" dataDxfId="0" dataCellStyle="Bad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1"/>
  <sheetViews>
    <sheetView tabSelected="1" workbookViewId="0">
      <selection activeCell="L9" sqref="L9"/>
    </sheetView>
  </sheetViews>
  <sheetFormatPr defaultRowHeight="15" x14ac:dyDescent="0.25"/>
  <cols>
    <col min="1" max="1" width="16.28515625" style="2" bestFit="1" customWidth="1"/>
    <col min="2" max="2" width="19.42578125" style="2" bestFit="1" customWidth="1"/>
    <col min="3" max="3" width="10.85546875" style="2" bestFit="1" customWidth="1"/>
    <col min="4" max="4" width="9.7109375" style="2" bestFit="1" customWidth="1"/>
    <col min="5" max="5" width="13.5703125" style="2" bestFit="1" customWidth="1"/>
    <col min="6" max="6" width="13.140625" style="2" bestFit="1" customWidth="1"/>
    <col min="7" max="7" width="13.85546875" style="9" bestFit="1" customWidth="1"/>
    <col min="8" max="8" width="13.85546875" style="2" bestFit="1" customWidth="1"/>
    <col min="9" max="9" width="14.85546875" style="2" bestFit="1" customWidth="1"/>
    <col min="10" max="12" width="14.5703125" style="2" bestFit="1" customWidth="1"/>
    <col min="13" max="14" width="14.42578125" style="9" bestFit="1" customWidth="1"/>
    <col min="15" max="15" width="14.7109375" style="9" bestFit="1" customWidth="1"/>
    <col min="16" max="16" width="7.7109375" customWidth="1"/>
    <col min="17" max="17" width="14.7109375" style="2" bestFit="1" customWidth="1"/>
    <col min="18" max="18" width="10.28515625" style="2" customWidth="1"/>
    <col min="19" max="19" width="10.5703125" hidden="1" customWidth="1"/>
    <col min="20" max="20" width="12.7109375" style="2" hidden="1" customWidth="1"/>
    <col min="21" max="16384" width="9.140625" style="2"/>
  </cols>
  <sheetData>
    <row r="1" spans="1:20" ht="47.25" x14ac:dyDescent="0.2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26</v>
      </c>
      <c r="H1" s="16" t="s">
        <v>16</v>
      </c>
      <c r="I1" s="16" t="s">
        <v>17</v>
      </c>
      <c r="J1" s="16" t="s">
        <v>19</v>
      </c>
      <c r="K1" s="16" t="s">
        <v>20</v>
      </c>
      <c r="L1" s="16" t="s">
        <v>21</v>
      </c>
      <c r="M1" s="16" t="s">
        <v>25</v>
      </c>
      <c r="N1" s="16" t="s">
        <v>24</v>
      </c>
      <c r="O1" s="16" t="s">
        <v>29</v>
      </c>
      <c r="P1" s="16" t="s">
        <v>30</v>
      </c>
      <c r="Q1" s="16" t="s">
        <v>32</v>
      </c>
      <c r="R1" s="16" t="s">
        <v>33</v>
      </c>
      <c r="S1" s="17" t="s">
        <v>34</v>
      </c>
      <c r="T1" s="19" t="s">
        <v>36</v>
      </c>
    </row>
    <row r="2" spans="1:20" x14ac:dyDescent="0.25">
      <c r="A2" s="2" t="s">
        <v>8</v>
      </c>
      <c r="B2" s="2" t="str">
        <f>'Live Data'!E4</f>
        <v>X1406MF-01</v>
      </c>
      <c r="C2" s="2">
        <f>'Live Data'!A2</f>
        <v>7</v>
      </c>
      <c r="D2" s="2">
        <v>1</v>
      </c>
      <c r="E2" s="10">
        <f>'Live Data'!A9</f>
        <v>8.8754019999999993</v>
      </c>
      <c r="F2" s="10">
        <f>'Live Data'!A3</f>
        <v>-0.78320500000000004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20">
        <f>SUM(Table1[[#This Row],[Pallet]:[Vacuum_Percent_Decay]])</f>
        <v>16.092197000000002</v>
      </c>
      <c r="T2" s="21">
        <v>16.092197000000002</v>
      </c>
    </row>
    <row r="3" spans="1:20" x14ac:dyDescent="0.25">
      <c r="A3" s="2" t="s">
        <v>9</v>
      </c>
      <c r="B3" s="2" t="str">
        <f>'Live Data'!$E$14</f>
        <v>X1544F-N3N7</v>
      </c>
      <c r="C3" s="2">
        <f>'Live Data'!$A$12</f>
        <v>4</v>
      </c>
      <c r="D3" s="2">
        <v>1</v>
      </c>
      <c r="E3" s="10">
        <f>'Live Data'!A19</f>
        <v>7.6483720000000002</v>
      </c>
      <c r="F3" s="10">
        <f>'Live Data'!A13</f>
        <v>-0.79779239999999996</v>
      </c>
      <c r="G3" s="1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20">
        <f>SUM(Table1[[#This Row],[Pallet]:[Vacuum_Percent_Decay]])</f>
        <v>11.8505796</v>
      </c>
      <c r="T3" s="21">
        <v>11.8505796</v>
      </c>
    </row>
    <row r="4" spans="1:20" x14ac:dyDescent="0.25">
      <c r="A4" s="2" t="s">
        <v>9</v>
      </c>
      <c r="B4" s="2" t="str">
        <f>'Live Data'!$E$14</f>
        <v>X1544F-N3N7</v>
      </c>
      <c r="C4" s="2">
        <f>'Live Data'!$A$12</f>
        <v>4</v>
      </c>
      <c r="D4" s="2">
        <v>2</v>
      </c>
      <c r="E4" s="10">
        <f>'Live Data'!B19</f>
        <v>7.6437210000000002</v>
      </c>
      <c r="F4" s="10">
        <f>'Live Data'!B13</f>
        <v>-1.158568</v>
      </c>
      <c r="G4" s="11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20">
        <f>SUM(Table1[[#This Row],[Pallet]:[Vacuum_Percent_Decay]])</f>
        <v>12.485152999999999</v>
      </c>
      <c r="T4" s="21">
        <v>12.485152999999999</v>
      </c>
    </row>
    <row r="5" spans="1:20" x14ac:dyDescent="0.25">
      <c r="A5" s="2" t="s">
        <v>9</v>
      </c>
      <c r="B5" s="2" t="str">
        <f>'Live Data'!$E$14</f>
        <v>X1544F-N3N7</v>
      </c>
      <c r="C5" s="2">
        <f>'Live Data'!$A$12</f>
        <v>4</v>
      </c>
      <c r="D5" s="2">
        <v>3</v>
      </c>
      <c r="E5" s="10">
        <f>'Live Data'!C19</f>
        <v>7.2696899999999998</v>
      </c>
      <c r="F5" s="10">
        <f>'Live Data'!C13</f>
        <v>-1.3040989999999999</v>
      </c>
      <c r="G5" s="11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20">
        <f>SUM(Table1[[#This Row],[Pallet]:[Vacuum_Percent_Decay]])</f>
        <v>12.965591</v>
      </c>
      <c r="T5" s="21">
        <v>12.965591</v>
      </c>
    </row>
    <row r="6" spans="1:20" x14ac:dyDescent="0.25">
      <c r="A6" s="2" t="s">
        <v>9</v>
      </c>
      <c r="B6" s="2" t="str">
        <f>'Live Data'!$E$14</f>
        <v>X1544F-N3N7</v>
      </c>
      <c r="C6" s="2">
        <f>'Live Data'!$A$12</f>
        <v>4</v>
      </c>
      <c r="D6" s="2">
        <v>4</v>
      </c>
      <c r="E6" s="10">
        <f>'Live Data'!D19</f>
        <v>6.9280739999999996</v>
      </c>
      <c r="F6" s="10">
        <f>'Live Data'!D13</f>
        <v>-1.434571</v>
      </c>
      <c r="G6" s="11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20">
        <f>SUM(Table1[[#This Row],[Pallet]:[Vacuum_Percent_Decay]])</f>
        <v>13.493502999999999</v>
      </c>
      <c r="T6" s="21">
        <v>13.493502999999999</v>
      </c>
    </row>
    <row r="7" spans="1:20" x14ac:dyDescent="0.25">
      <c r="A7" s="2" t="s">
        <v>11</v>
      </c>
      <c r="B7" s="2" t="str">
        <f>'Live Data'!$E$24</f>
        <v>X1538F-01</v>
      </c>
      <c r="C7" s="2">
        <f>'Live Data'!$A$22</f>
        <v>20</v>
      </c>
      <c r="D7" s="2">
        <v>1</v>
      </c>
      <c r="E7" s="10">
        <f>'Live Data'!A23</f>
        <v>6.9121959999999998</v>
      </c>
      <c r="F7" s="10">
        <f>'Live Data'!A24</f>
        <v>-1.6187549999999999</v>
      </c>
      <c r="G7" s="11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20">
        <f>SUM(Table1[[#This Row],[Pallet]:[Vacuum_Percent_Decay]])</f>
        <v>26.293441000000001</v>
      </c>
      <c r="T7" s="21">
        <v>26.293441000000001</v>
      </c>
    </row>
    <row r="8" spans="1:20" x14ac:dyDescent="0.25">
      <c r="A8" s="2" t="s">
        <v>11</v>
      </c>
      <c r="B8" s="2" t="str">
        <f>'Live Data'!$E$24</f>
        <v>X1538F-01</v>
      </c>
      <c r="C8" s="2">
        <f>'Live Data'!$A$22</f>
        <v>20</v>
      </c>
      <c r="D8" s="2">
        <v>2</v>
      </c>
      <c r="E8" s="10">
        <f>'Live Data'!B23</f>
        <v>7.1591529999999999</v>
      </c>
      <c r="F8" s="10">
        <f>'Live Data'!B24</f>
        <v>-2.144018</v>
      </c>
      <c r="G8" s="11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20">
        <f>SUM(Table1[[#This Row],[Pallet]:[Vacuum_Percent_Decay]])</f>
        <v>27.015135000000001</v>
      </c>
      <c r="T8" s="21">
        <v>27.015135000000001</v>
      </c>
    </row>
    <row r="9" spans="1:20" x14ac:dyDescent="0.25">
      <c r="A9" s="2" t="s">
        <v>11</v>
      </c>
      <c r="B9" s="2" t="str">
        <f>'Live Data'!$E$24</f>
        <v>X1538F-01</v>
      </c>
      <c r="C9" s="2">
        <f>'Live Data'!$A$22</f>
        <v>20</v>
      </c>
      <c r="D9" s="2">
        <v>3</v>
      </c>
      <c r="E9" s="10">
        <f>'Live Data'!C23</f>
        <v>7.1462919999999999</v>
      </c>
      <c r="F9" s="10">
        <f>'Live Data'!C24</f>
        <v>-2.196529</v>
      </c>
      <c r="G9" s="11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20">
        <f>SUM(Table1[[#This Row],[Pallet]:[Vacuum_Percent_Decay]])</f>
        <v>27.949762999999997</v>
      </c>
      <c r="T9" s="21">
        <v>27.949762999999997</v>
      </c>
    </row>
    <row r="10" spans="1:20" x14ac:dyDescent="0.25">
      <c r="A10" s="2" t="s">
        <v>11</v>
      </c>
      <c r="B10" s="2" t="str">
        <f>'Live Data'!$E$24</f>
        <v>X1538F-01</v>
      </c>
      <c r="C10" s="2">
        <f>'Live Data'!$A$22</f>
        <v>20</v>
      </c>
      <c r="D10" s="2">
        <v>4</v>
      </c>
      <c r="E10" s="10">
        <f>'Live Data'!D23</f>
        <v>7.2333670000000003</v>
      </c>
      <c r="F10" s="10">
        <f>'Live Data'!D24</f>
        <v>-1.898687</v>
      </c>
      <c r="G10" s="11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20">
        <f>SUM(Table1[[#This Row],[Pallet]:[Vacuum_Percent_Decay]])</f>
        <v>29.334680000000002</v>
      </c>
      <c r="T10" s="21">
        <v>29.334680000000002</v>
      </c>
    </row>
    <row r="11" spans="1:20" x14ac:dyDescent="0.25">
      <c r="A11" s="2" t="s">
        <v>13</v>
      </c>
      <c r="B11" s="2" t="str">
        <f>'Live Data'!$E$34</f>
        <v>X1238L</v>
      </c>
      <c r="C11" s="2">
        <f>'Live Data'!$A$32</f>
        <v>15</v>
      </c>
      <c r="D11" s="2">
        <v>1</v>
      </c>
      <c r="E11" s="10">
        <f>'Live Data'!A34</f>
        <v>1.2664070000000001</v>
      </c>
      <c r="F11" s="10">
        <f>'Live Data'!A33</f>
        <v>-2.7594530000000002</v>
      </c>
      <c r="G11" s="11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20">
        <f>SUM(Table1[[#This Row],[Pallet]:[Vacuum_Percent_Decay]])</f>
        <v>14.506954</v>
      </c>
      <c r="T11" s="21">
        <v>14.506954</v>
      </c>
    </row>
    <row r="12" spans="1:20" x14ac:dyDescent="0.25">
      <c r="A12" s="2" t="s">
        <v>13</v>
      </c>
      <c r="B12" s="2" t="str">
        <f>'Live Data'!$E$34</f>
        <v>X1238L</v>
      </c>
      <c r="C12" s="2">
        <f>'Live Data'!$A$32</f>
        <v>15</v>
      </c>
      <c r="D12" s="2">
        <v>2</v>
      </c>
      <c r="E12" s="10">
        <f>'Live Data'!B34</f>
        <v>1.428474</v>
      </c>
      <c r="F12" s="10">
        <f>'Live Data'!B33</f>
        <v>-2.9830109999999999</v>
      </c>
      <c r="G12" s="11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20">
        <f>SUM(Table1[[#This Row],[Pallet]:[Vacuum_Percent_Decay]])</f>
        <v>15.445463000000002</v>
      </c>
      <c r="T12" s="21">
        <v>15.445463000000002</v>
      </c>
    </row>
    <row r="13" spans="1:20" x14ac:dyDescent="0.25">
      <c r="A13" s="2" t="s">
        <v>13</v>
      </c>
      <c r="B13" s="2" t="str">
        <f>'Live Data'!$E$34</f>
        <v>X1238L</v>
      </c>
      <c r="C13" s="2">
        <f>'Live Data'!$A$32</f>
        <v>15</v>
      </c>
      <c r="D13" s="2">
        <v>3</v>
      </c>
      <c r="E13" s="10">
        <f>'Live Data'!C34</f>
        <v>1.0811900000000001</v>
      </c>
      <c r="F13" s="10">
        <f>'Live Data'!C33</f>
        <v>-2.8455940000000002</v>
      </c>
      <c r="G13" s="11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20">
        <f>SUM(Table1[[#This Row],[Pallet]:[Vacuum_Percent_Decay]])</f>
        <v>16.235596000000001</v>
      </c>
      <c r="T13" s="21">
        <v>16.235596000000001</v>
      </c>
    </row>
    <row r="14" spans="1:20" x14ac:dyDescent="0.25">
      <c r="A14" s="2" t="s">
        <v>13</v>
      </c>
      <c r="B14" s="2" t="str">
        <f>'Live Data'!$E$34</f>
        <v>X1238L</v>
      </c>
      <c r="C14" s="2">
        <f>'Live Data'!$A$32</f>
        <v>15</v>
      </c>
      <c r="D14" s="2">
        <v>4</v>
      </c>
      <c r="E14" s="10">
        <f>'Live Data'!D34</f>
        <v>1.1865600000000001</v>
      </c>
      <c r="F14" s="10">
        <f>'Live Data'!D33</f>
        <v>-3.4119549999999998</v>
      </c>
      <c r="G14" s="11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20">
        <f>SUM(Table1[[#This Row],[Pallet]:[Vacuum_Percent_Decay]])</f>
        <v>16.774605000000001</v>
      </c>
      <c r="T14" s="21">
        <v>16.774605000000001</v>
      </c>
    </row>
    <row r="15" spans="1:20" x14ac:dyDescent="0.25">
      <c r="A15" s="2" t="s">
        <v>15</v>
      </c>
      <c r="B15" s="2" t="str">
        <f>'Live Data'!E44</f>
        <v>X0951</v>
      </c>
      <c r="C15" s="2">
        <v>1</v>
      </c>
      <c r="D15" s="2">
        <v>1</v>
      </c>
      <c r="E15" s="15">
        <f>'Live Data'!A44</f>
        <v>9999</v>
      </c>
      <c r="F15" s="15">
        <f>'Live Data'!A43</f>
        <v>9999</v>
      </c>
      <c r="G15" s="13"/>
      <c r="H15" s="10">
        <f>'Live Data'!A45</f>
        <v>-0.56835290000000005</v>
      </c>
      <c r="I15" s="10">
        <f>'Live Data'!A46</f>
        <v>-0.36502459999999998</v>
      </c>
      <c r="J15" s="12"/>
      <c r="K15" s="12"/>
      <c r="L15" s="12"/>
      <c r="M15" s="12"/>
      <c r="N15" s="12"/>
      <c r="O15" s="12"/>
      <c r="P15" s="12"/>
      <c r="Q15" s="12"/>
      <c r="R15" s="12"/>
      <c r="S15" s="20">
        <f>SUM(Table1[[#This Row],[Pallet]:[Vacuum_Percent_Decay]])</f>
        <v>19999.066622499999</v>
      </c>
      <c r="T15" s="21">
        <v>19999.066622499999</v>
      </c>
    </row>
    <row r="16" spans="1:20" x14ac:dyDescent="0.25">
      <c r="A16" s="2" t="s">
        <v>14</v>
      </c>
      <c r="B16" s="2" t="str">
        <f>'Live Data'!E54</f>
        <v>X1438RF2L-01</v>
      </c>
      <c r="C16" s="2">
        <f>'Live Data'!A52</f>
        <v>295</v>
      </c>
      <c r="D16" s="2">
        <v>1</v>
      </c>
      <c r="E16" s="12"/>
      <c r="F16" s="12"/>
      <c r="G16" s="11"/>
      <c r="H16" s="12"/>
      <c r="I16" s="12"/>
      <c r="J16" s="10">
        <f>'Live Data'!A54</f>
        <v>0.42899609999999999</v>
      </c>
      <c r="K16" s="10">
        <f>'Live Data'!A56</f>
        <v>3.363116E-44</v>
      </c>
      <c r="L16" s="10">
        <f>'Live Data'!A58</f>
        <v>0</v>
      </c>
      <c r="M16" s="12"/>
      <c r="N16" s="12"/>
      <c r="O16" s="12"/>
      <c r="P16" s="12"/>
      <c r="Q16" s="12"/>
      <c r="R16" s="12"/>
      <c r="S16" s="20">
        <f>SUM(Table1[[#This Row],[Pallet]:[Vacuum_Percent_Decay]])</f>
        <v>296.42899610000001</v>
      </c>
      <c r="T16" s="21">
        <v>296.42899610000001</v>
      </c>
    </row>
    <row r="17" spans="1:20" x14ac:dyDescent="0.25">
      <c r="A17" s="2" t="s">
        <v>22</v>
      </c>
      <c r="B17" s="2" t="str">
        <f>'Live Data'!$E$64</f>
        <v/>
      </c>
      <c r="C17" s="2">
        <f>'Live Data'!$A$62</f>
        <v>3</v>
      </c>
      <c r="D17" s="2">
        <v>1</v>
      </c>
      <c r="E17" s="10">
        <f>'Live Data'!A64</f>
        <v>0.95757479999999995</v>
      </c>
      <c r="F17" s="10">
        <f>'Live Data'!A63</f>
        <v>-3.330435</v>
      </c>
      <c r="G17" s="11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20">
        <f>SUM(Table1[[#This Row],[Pallet]:[Vacuum_Percent_Decay]])</f>
        <v>1.6271397999999997</v>
      </c>
      <c r="T17" s="21">
        <v>1.6271397999999997</v>
      </c>
    </row>
    <row r="18" spans="1:20" x14ac:dyDescent="0.25">
      <c r="A18" s="2" t="s">
        <v>22</v>
      </c>
      <c r="B18" s="2" t="str">
        <f>'Live Data'!$E$64</f>
        <v/>
      </c>
      <c r="C18" s="2">
        <f>'Live Data'!$A$62</f>
        <v>3</v>
      </c>
      <c r="D18" s="2">
        <v>2</v>
      </c>
      <c r="E18" s="10">
        <f>'Live Data'!B64</f>
        <v>1.2614609999999999</v>
      </c>
      <c r="F18" s="10">
        <f>'Live Data'!B63</f>
        <v>-4.0040990000000001</v>
      </c>
      <c r="G18" s="11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20">
        <f>SUM(Table1[[#This Row],[Pallet]:[Vacuum_Percent_Decay]])</f>
        <v>2.2573619999999996</v>
      </c>
      <c r="T18" s="21">
        <v>2.2573619999999996</v>
      </c>
    </row>
    <row r="19" spans="1:20" x14ac:dyDescent="0.25">
      <c r="A19" s="2" t="s">
        <v>22</v>
      </c>
      <c r="B19" s="2" t="str">
        <f>'Live Data'!$E$64</f>
        <v/>
      </c>
      <c r="C19" s="2">
        <f>'Live Data'!$A$62</f>
        <v>3</v>
      </c>
      <c r="D19" s="2">
        <v>3</v>
      </c>
      <c r="E19" s="10">
        <f>'Live Data'!C64</f>
        <v>1.086293</v>
      </c>
      <c r="F19" s="10">
        <f>'Live Data'!C63</f>
        <v>-3.3706909999999999</v>
      </c>
      <c r="G19" s="11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20">
        <f>SUM(Table1[[#This Row],[Pallet]:[Vacuum_Percent_Decay]])</f>
        <v>3.7156019999999996</v>
      </c>
      <c r="T19" s="21">
        <v>3.7156019999999996</v>
      </c>
    </row>
    <row r="20" spans="1:20" x14ac:dyDescent="0.25">
      <c r="A20" s="2" t="s">
        <v>22</v>
      </c>
      <c r="B20" s="2" t="str">
        <f>'Live Data'!$E$64</f>
        <v/>
      </c>
      <c r="C20" s="2">
        <f>'Live Data'!$A$62</f>
        <v>3</v>
      </c>
      <c r="D20" s="2">
        <v>4</v>
      </c>
      <c r="E20" s="10">
        <f>'Live Data'!D64</f>
        <v>1.006173</v>
      </c>
      <c r="F20" s="10">
        <f>'Live Data'!D63</f>
        <v>-2.987501</v>
      </c>
      <c r="G20" s="11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20">
        <f>SUM(Table1[[#This Row],[Pallet]:[Vacuum_Percent_Decay]])</f>
        <v>5.0186720000000005</v>
      </c>
      <c r="T20" s="21">
        <v>5.0186720000000005</v>
      </c>
    </row>
    <row r="21" spans="1:20" x14ac:dyDescent="0.25">
      <c r="A21" s="2" t="s">
        <v>23</v>
      </c>
      <c r="B21" s="2" t="str">
        <f>'Live Data'!$E$74</f>
        <v>X1438FCB-4V</v>
      </c>
      <c r="C21" s="2">
        <f>'Live Data'!$A$72</f>
        <v>29</v>
      </c>
      <c r="D21" s="2">
        <v>1</v>
      </c>
      <c r="E21" s="10" t="str">
        <f>IF('Live Data'!$C$75=1,'Live Data'!$A$74,"")</f>
        <v/>
      </c>
      <c r="F21" s="10" t="str">
        <f>IF('Live Data'!$C$75=1,'Live Data'!$A$75,"")</f>
        <v/>
      </c>
      <c r="G21" s="10"/>
      <c r="H21" s="12"/>
      <c r="I21" s="12"/>
      <c r="J21" s="12"/>
      <c r="K21" s="12"/>
      <c r="L21" s="12"/>
      <c r="M21" s="10">
        <f>'Live Data'!A78</f>
        <v>5.0995030000000003</v>
      </c>
      <c r="N21" s="10">
        <f>'Live Data'!A76</f>
        <v>4.7499659999999999E-2</v>
      </c>
      <c r="O21" s="14"/>
      <c r="P21" s="14"/>
      <c r="Q21" s="14"/>
      <c r="R21" s="14"/>
      <c r="S21" s="20">
        <f>SUM(Table1[[#This Row],[Pallet]:[Vacuum_Percent_Decay]])</f>
        <v>35.147002659999998</v>
      </c>
      <c r="T21" s="21">
        <v>35.147002659999998</v>
      </c>
    </row>
    <row r="22" spans="1:20" x14ac:dyDescent="0.25">
      <c r="A22" s="4" t="s">
        <v>23</v>
      </c>
      <c r="B22" s="4" t="str">
        <f>'Live Data'!$E$74</f>
        <v>X1438FCB-4V</v>
      </c>
      <c r="C22" s="4">
        <f>'Live Data'!$A$72</f>
        <v>29</v>
      </c>
      <c r="D22" s="4">
        <v>2</v>
      </c>
      <c r="E22" s="10" t="str">
        <f>IF('Live Data'!$D$75=2,'Live Data'!$B$74,"")</f>
        <v/>
      </c>
      <c r="F22" s="10" t="str">
        <f>IF('Live Data'!$D$75=2,'Live Data'!$B$75,"")</f>
        <v/>
      </c>
      <c r="G22" s="10"/>
      <c r="H22" s="12"/>
      <c r="I22" s="12"/>
      <c r="J22" s="12"/>
      <c r="K22" s="12" t="s">
        <v>31</v>
      </c>
      <c r="L22" s="12"/>
      <c r="M22" s="10">
        <f>'Live Data'!B78</f>
        <v>1.865669</v>
      </c>
      <c r="N22" s="10">
        <f>'Live Data'!B76</f>
        <v>-1.312542E-2</v>
      </c>
      <c r="O22" s="14"/>
      <c r="P22" s="14"/>
      <c r="Q22" s="14"/>
      <c r="R22" s="14"/>
      <c r="S22" s="20">
        <f>SUM(Table1[[#This Row],[Pallet]:[Vacuum_Percent_Decay]])</f>
        <v>32.852543579999995</v>
      </c>
      <c r="T22" s="21">
        <v>32.852543579999995</v>
      </c>
    </row>
    <row r="23" spans="1:20" x14ac:dyDescent="0.25">
      <c r="A23" s="4" t="s">
        <v>23</v>
      </c>
      <c r="B23" s="4" t="str">
        <f>'Live Data'!$E$74</f>
        <v>X1438FCB-4V</v>
      </c>
      <c r="C23" s="4">
        <f>'Live Data'!$A$72</f>
        <v>29</v>
      </c>
      <c r="D23" s="4">
        <v>3</v>
      </c>
      <c r="E23" s="10" t="str">
        <f>IF('Live Data'!$C$75=3,'Live Data'!$A$74,"")</f>
        <v/>
      </c>
      <c r="F23" s="10" t="str">
        <f>IF('Live Data'!$C$75=3,'Live Data'!$A$75,"")</f>
        <v/>
      </c>
      <c r="G23" s="10" t="str">
        <f>IF('Live Data'!$C$75=3,'Live Data'!$A$73,"")</f>
        <v/>
      </c>
      <c r="H23" s="12"/>
      <c r="I23" s="12"/>
      <c r="J23" s="12"/>
      <c r="K23" s="12"/>
      <c r="L23" s="12"/>
      <c r="M23" s="12"/>
      <c r="N23" s="10">
        <f>'Live Data'!C76</f>
        <v>4.5000079999999998E-2</v>
      </c>
      <c r="O23" s="14"/>
      <c r="P23" s="14"/>
      <c r="Q23" s="14"/>
      <c r="R23" s="14"/>
      <c r="S23" s="20">
        <f>SUM(Table1[[#This Row],[Pallet]:[Vacuum_Percent_Decay]])</f>
        <v>32.045000080000001</v>
      </c>
      <c r="T23" s="21">
        <v>32.045000080000001</v>
      </c>
    </row>
    <row r="24" spans="1:20" x14ac:dyDescent="0.25">
      <c r="A24" s="4" t="s">
        <v>23</v>
      </c>
      <c r="B24" s="4" t="str">
        <f>'Live Data'!$E$74</f>
        <v>X1438FCB-4V</v>
      </c>
      <c r="C24" s="4">
        <f>'Live Data'!$A$72</f>
        <v>29</v>
      </c>
      <c r="D24" s="4">
        <v>4</v>
      </c>
      <c r="E24" s="10" t="str">
        <f>IF('Live Data'!$D$75=4,'Live Data'!$B$74,"")</f>
        <v/>
      </c>
      <c r="F24" s="10" t="str">
        <f>IF('Live Data'!$D$75=4,'Live Data'!$B$75,"")</f>
        <v/>
      </c>
      <c r="G24" s="10" t="str">
        <f>IF('Live Data'!$D$75=4,'Live Data'!$B$73,"")</f>
        <v/>
      </c>
      <c r="H24" s="12"/>
      <c r="I24" s="12"/>
      <c r="J24" s="12"/>
      <c r="K24" s="12"/>
      <c r="L24" s="12"/>
      <c r="M24" s="12"/>
      <c r="N24" s="10">
        <f>'Live Data'!D76</f>
        <v>-3.1251909999999998E-3</v>
      </c>
      <c r="O24" s="14"/>
      <c r="P24" s="14"/>
      <c r="Q24" s="14"/>
      <c r="R24" s="14"/>
      <c r="S24" s="20">
        <f>SUM(Table1[[#This Row],[Pallet]:[Vacuum_Percent_Decay]])</f>
        <v>32.996874808999998</v>
      </c>
      <c r="T24" s="21">
        <v>32.996874808999998</v>
      </c>
    </row>
    <row r="25" spans="1:20" x14ac:dyDescent="0.25">
      <c r="A25" s="4" t="s">
        <v>23</v>
      </c>
      <c r="B25" s="4" t="str">
        <f>'Live Data'!$E$74</f>
        <v>X1438FCB-4V</v>
      </c>
      <c r="C25" s="4">
        <f>'Live Data'!$A$72</f>
        <v>29</v>
      </c>
      <c r="D25" s="4">
        <v>5</v>
      </c>
      <c r="E25" s="10">
        <f>IF('Live Data'!$C$75=5,'Live Data'!$A$74,"")</f>
        <v>2.6101030000000001</v>
      </c>
      <c r="F25" s="10">
        <f>IF('Live Data'!$C$75=5,'Live Data'!$A$75,"")</f>
        <v>-1.5281260000000001</v>
      </c>
      <c r="G25" s="10">
        <f>IF('Live Data'!$C$75=5,'Live Data'!$A$73,"")</f>
        <v>-1.2488220000000001</v>
      </c>
      <c r="H25" s="12"/>
      <c r="I25" s="12"/>
      <c r="J25" s="12"/>
      <c r="K25" s="12"/>
      <c r="L25" s="12"/>
      <c r="M25" s="12"/>
      <c r="N25" s="10">
        <f>'Live Data'!A77</f>
        <v>3.1251909999999998E-3</v>
      </c>
      <c r="O25" s="14"/>
      <c r="P25" s="14"/>
      <c r="Q25" s="14"/>
      <c r="R25" s="14"/>
      <c r="S25" s="20">
        <f>SUM(Table1[[#This Row],[Pallet]:[Vacuum_Percent_Decay]])</f>
        <v>33.836280191000007</v>
      </c>
      <c r="T25" s="21">
        <v>33.836280191000007</v>
      </c>
    </row>
    <row r="26" spans="1:20" x14ac:dyDescent="0.25">
      <c r="A26" s="4" t="s">
        <v>23</v>
      </c>
      <c r="B26" s="4" t="str">
        <f>'Live Data'!$E$74</f>
        <v>X1438FCB-4V</v>
      </c>
      <c r="C26" s="4">
        <f>'Live Data'!$A$72</f>
        <v>29</v>
      </c>
      <c r="D26" s="4">
        <v>6</v>
      </c>
      <c r="E26" s="10">
        <f>IF('Live Data'!$D$75=6,'Live Data'!$B$74,"")</f>
        <v>2.1488809999999998</v>
      </c>
      <c r="F26" s="10">
        <f>IF('Live Data'!$D$75=6,'Live Data'!$B$75,"")</f>
        <v>-1.5612509999999999</v>
      </c>
      <c r="G26" s="10">
        <f>IF('Live Data'!$D$75=6,'Live Data'!$B$73,"")</f>
        <v>-1.162485</v>
      </c>
      <c r="H26" s="12"/>
      <c r="I26" s="12"/>
      <c r="J26" s="12"/>
      <c r="K26" s="12"/>
      <c r="L26" s="12"/>
      <c r="M26" s="12"/>
      <c r="N26" s="10">
        <f>'Live Data'!B77</f>
        <v>8.749962E-3</v>
      </c>
      <c r="O26" s="14"/>
      <c r="P26" s="14"/>
      <c r="Q26" s="14"/>
      <c r="R26" s="14"/>
      <c r="S26" s="20">
        <f>SUM(Table1[[#This Row],[Pallet]:[Vacuum_Percent_Decay]])</f>
        <v>34.433894962000011</v>
      </c>
      <c r="T26" s="21">
        <v>34.433894962000011</v>
      </c>
    </row>
    <row r="27" spans="1:20" x14ac:dyDescent="0.25">
      <c r="A27" s="4" t="s">
        <v>23</v>
      </c>
      <c r="B27" s="4" t="str">
        <f>'Live Data'!$E$74</f>
        <v>X1438FCB-4V</v>
      </c>
      <c r="C27" s="4">
        <f>'Live Data'!$A$72</f>
        <v>29</v>
      </c>
      <c r="D27" s="4">
        <v>7</v>
      </c>
      <c r="E27" s="10" t="str">
        <f>IF('Live Data'!$C$75=7,'Live Data'!$A$74,"")</f>
        <v/>
      </c>
      <c r="F27" s="10" t="str">
        <f>IF('Live Data'!$C$75=7,'Live Data'!$A$75,"")</f>
        <v/>
      </c>
      <c r="G27" s="10" t="str">
        <f>IF('Live Data'!$C$75=7,'Live Data'!$A$73,"")</f>
        <v/>
      </c>
      <c r="H27" s="12"/>
      <c r="I27" s="12"/>
      <c r="J27" s="12"/>
      <c r="K27" s="12"/>
      <c r="L27" s="12"/>
      <c r="M27" s="12"/>
      <c r="N27" s="10">
        <f>'Live Data'!C77</f>
        <v>2.0000460000000001E-2</v>
      </c>
      <c r="O27" s="14"/>
      <c r="P27" s="14"/>
      <c r="Q27" s="14"/>
      <c r="R27" s="14"/>
      <c r="S27" s="20">
        <f>SUM(Table1[[#This Row],[Pallet]:[Vacuum_Percent_Decay]])</f>
        <v>36.020000459999999</v>
      </c>
      <c r="T27" s="21">
        <v>36.020000459999999</v>
      </c>
    </row>
    <row r="28" spans="1:20" x14ac:dyDescent="0.25">
      <c r="A28" s="4" t="s">
        <v>23</v>
      </c>
      <c r="B28" s="4" t="str">
        <f>'Live Data'!$E$74</f>
        <v>X1438FCB-4V</v>
      </c>
      <c r="C28" s="4">
        <f>'Live Data'!$A$72</f>
        <v>29</v>
      </c>
      <c r="D28" s="4">
        <v>8</v>
      </c>
      <c r="E28" s="10" t="str">
        <f>IF('Live Data'!$D$75=8,'Live Data'!$B$74,"")</f>
        <v/>
      </c>
      <c r="F28" s="10" t="str">
        <f>IF('Live Data'!$D$75=8,'Live Data'!$B$75,"")</f>
        <v/>
      </c>
      <c r="G28" s="10" t="str">
        <f>IF('Live Data'!$D$75=8,'Live Data'!$B$73,"")</f>
        <v/>
      </c>
      <c r="H28" s="12"/>
      <c r="I28" s="12"/>
      <c r="J28" s="12"/>
      <c r="K28" s="12"/>
      <c r="L28" s="12"/>
      <c r="M28" s="12"/>
      <c r="N28" s="10">
        <f>'Live Data'!D77</f>
        <v>6.875038E-3</v>
      </c>
      <c r="O28" s="14"/>
      <c r="P28" s="14"/>
      <c r="Q28" s="14"/>
      <c r="R28" s="14"/>
      <c r="S28" s="20">
        <f>SUM(Table1[[#This Row],[Pallet]:[Vacuum_Percent_Decay]])</f>
        <v>37.006875037999997</v>
      </c>
      <c r="T28" s="21">
        <v>37.006875037999997</v>
      </c>
    </row>
    <row r="29" spans="1:20" x14ac:dyDescent="0.25">
      <c r="A29" s="9" t="s">
        <v>27</v>
      </c>
      <c r="B29" s="9"/>
      <c r="C29" s="9">
        <v>1</v>
      </c>
      <c r="D29" s="9">
        <v>1</v>
      </c>
      <c r="E29" s="10">
        <f>'Live Data'!A84</f>
        <v>4.6425289999999997</v>
      </c>
      <c r="F29" s="10">
        <f>'Live Data'!A83</f>
        <v>-0.85031509999999999</v>
      </c>
      <c r="G29" s="14"/>
      <c r="H29" s="14"/>
      <c r="I29" s="14"/>
      <c r="J29" s="14"/>
      <c r="K29" s="14"/>
      <c r="L29" s="14"/>
      <c r="M29" s="14"/>
      <c r="N29" s="14"/>
      <c r="O29" s="10">
        <f>'Live Data'!B83</f>
        <v>-0.86037830000000004</v>
      </c>
      <c r="P29" s="10">
        <f>'Live Data'!B84</f>
        <v>4.4792230000000002</v>
      </c>
      <c r="Q29" s="10">
        <f>IFERROR(((Table1[[#This Row],[Pressure]]-Table1[[#This Row],[PressureFinal]])/Table1[[#This Row],[Pressure]])*100,0)</f>
        <v>3.5176086137533988</v>
      </c>
      <c r="R29" s="10">
        <f>IFERROR(((Table1[[#This Row],[Vacuum]]-Table1[[#This Row],[VacuumFinal]])/Table1[[#This Row],[Vacuum]])*100,0)</f>
        <v>-1.1834671641136385</v>
      </c>
      <c r="S29" s="20">
        <f>SUM(Table1[[#This Row],[Pallet]:[Vacuum_Percent_Decay]])</f>
        <v>11.745200049639761</v>
      </c>
      <c r="T29" s="21">
        <v>11.745200049639761</v>
      </c>
    </row>
    <row r="30" spans="1:20" x14ac:dyDescent="0.25">
      <c r="A30" s="9" t="s">
        <v>28</v>
      </c>
      <c r="B30" s="9" t="str">
        <f>'Live Data'!$E$94</f>
        <v>X45MV15CNV-N1246</v>
      </c>
      <c r="C30" s="9">
        <v>1</v>
      </c>
      <c r="D30" s="9">
        <v>1</v>
      </c>
      <c r="E30" s="10">
        <f>'Live Data'!A93</f>
        <v>4.2153330000000002</v>
      </c>
      <c r="F30" s="10">
        <f>'Live Data'!A96</f>
        <v>-0.80476309999999995</v>
      </c>
      <c r="G30" s="14"/>
      <c r="H30" s="14"/>
      <c r="I30" s="14"/>
      <c r="J30" s="14"/>
      <c r="K30" s="14"/>
      <c r="L30" s="14"/>
      <c r="M30" s="14"/>
      <c r="N30" s="14"/>
      <c r="O30" s="10">
        <f>'Live Data'!A98</f>
        <v>-0.77844480000000005</v>
      </c>
      <c r="P30" s="10">
        <f>'Live Data'!A95</f>
        <v>4.1842730000000001</v>
      </c>
      <c r="Q30" s="10">
        <f>IFERROR(((Table1[[#This Row],[Pressure]]-Table1[[#This Row],[PressureFinal]])/Table1[[#This Row],[Pressure]])*100,0)</f>
        <v>0.73683383969902461</v>
      </c>
      <c r="R30" s="10">
        <f>IFERROR(((Table1[[#This Row],[Vacuum]]-Table1[[#This Row],[VacuumFinal]])/Table1[[#This Row],[Vacuum]])*100,0)</f>
        <v>3.2703164446779316</v>
      </c>
      <c r="S30" s="20">
        <f>SUM(Table1[[#This Row],[Pallet]:[Vacuum_Percent_Decay]])</f>
        <v>12.823548384376956</v>
      </c>
      <c r="T30" s="21">
        <v>12.823548384376956</v>
      </c>
    </row>
    <row r="31" spans="1:20" x14ac:dyDescent="0.25">
      <c r="A31" s="9" t="s">
        <v>28</v>
      </c>
      <c r="B31" s="9" t="str">
        <f>'Live Data'!$E$94</f>
        <v>X45MV15CNV-N1246</v>
      </c>
      <c r="C31" s="9">
        <v>1</v>
      </c>
      <c r="D31" s="9">
        <v>2</v>
      </c>
      <c r="E31" s="10">
        <f>'Live Data'!B93</f>
        <v>4.1679069999999996</v>
      </c>
      <c r="F31" s="10">
        <f>'Live Data'!B96</f>
        <v>-0.78796299999999997</v>
      </c>
      <c r="G31" s="14"/>
      <c r="H31" s="14"/>
      <c r="I31" s="14"/>
      <c r="J31" s="14"/>
      <c r="K31" s="14"/>
      <c r="L31" s="14"/>
      <c r="M31" s="14"/>
      <c r="N31" s="14"/>
      <c r="O31" s="10">
        <f>'Live Data'!B98</f>
        <v>-0.77844480000000005</v>
      </c>
      <c r="P31" s="10">
        <f>'Live Data'!B95</f>
        <v>4.1493520000000004</v>
      </c>
      <c r="Q31" s="10">
        <f>IFERROR(((Table1[[#This Row],[Pressure]]-Table1[[#This Row],[PressureFinal]])/Table1[[#This Row],[Pressure]])*100,0)</f>
        <v>0.44518747659194924</v>
      </c>
      <c r="R31" s="10">
        <f>IFERROR(((Table1[[#This Row],[Vacuum]]-Table1[[#This Row],[VacuumFinal]])/Table1[[#This Row],[Vacuum]])*100,0)</f>
        <v>1.2079501194852957</v>
      </c>
      <c r="S31" s="20">
        <f>SUM(Table1[[#This Row],[Pallet]:[Vacuum_Percent_Decay]])</f>
        <v>11.403988796077243</v>
      </c>
      <c r="T31" s="21">
        <v>11.403988796077243</v>
      </c>
    </row>
    <row r="32" spans="1:20" x14ac:dyDescent="0.25">
      <c r="A32" s="9" t="s">
        <v>28</v>
      </c>
      <c r="B32" s="9" t="str">
        <f>'Live Data'!$E$94</f>
        <v>X45MV15CNV-N1246</v>
      </c>
      <c r="C32" s="9">
        <v>2</v>
      </c>
      <c r="D32" s="9">
        <v>1</v>
      </c>
      <c r="E32" s="10">
        <f>'Live Data'!C96</f>
        <v>4.2066749999999997</v>
      </c>
      <c r="F32" s="10">
        <f>'Live Data'!C93</f>
        <v>-0.77578559999999996</v>
      </c>
      <c r="G32" s="14"/>
      <c r="H32" s="14"/>
      <c r="I32" s="14"/>
      <c r="J32" s="14"/>
      <c r="K32" s="14"/>
      <c r="L32" s="14"/>
      <c r="M32" s="14"/>
      <c r="N32" s="14"/>
      <c r="O32" s="10">
        <f>'Live Data'!C95</f>
        <v>-0.76888380000000001</v>
      </c>
      <c r="P32" s="10">
        <f>'Live Data'!C98</f>
        <v>4.1792210000000001</v>
      </c>
      <c r="Q32" s="10">
        <f>IFERROR(((Table1[[#This Row],[Pressure]]-Table1[[#This Row],[PressureFinal]])/Table1[[#This Row],[Pressure]])*100,0)</f>
        <v>0.65262945200186961</v>
      </c>
      <c r="R32" s="10">
        <f>IFERROR(((Table1[[#This Row],[Vacuum]]-Table1[[#This Row],[VacuumFinal]])/Table1[[#This Row],[Vacuum]])*100,0)</f>
        <v>0.88965301753473613</v>
      </c>
      <c r="S32" s="20">
        <f>SUM(Table1[[#This Row],[Pallet]:[Vacuum_Percent_Decay]])</f>
        <v>11.383509069536604</v>
      </c>
      <c r="T32" s="21">
        <v>11.383509069536604</v>
      </c>
    </row>
    <row r="33" spans="1:20" x14ac:dyDescent="0.25">
      <c r="A33" s="9" t="s">
        <v>28</v>
      </c>
      <c r="B33" s="9" t="str">
        <f>'Live Data'!$E$94</f>
        <v>X45MV15CNV-N1246</v>
      </c>
      <c r="C33" s="9">
        <v>2</v>
      </c>
      <c r="D33" s="9">
        <v>2</v>
      </c>
      <c r="E33" s="10">
        <f>'Live Data'!D96</f>
        <v>4.1020899999999996</v>
      </c>
      <c r="F33" s="10">
        <f>'Live Data'!D93</f>
        <v>-0.83753999999999995</v>
      </c>
      <c r="G33" s="14"/>
      <c r="H33" s="14"/>
      <c r="I33" s="14"/>
      <c r="J33" s="14"/>
      <c r="K33" s="14"/>
      <c r="L33" s="14"/>
      <c r="M33" s="14"/>
      <c r="N33" s="14"/>
      <c r="O33" s="10">
        <f>'Live Data'!D95</f>
        <v>-0.83058690000000002</v>
      </c>
      <c r="P33" s="10">
        <f>'Live Data'!D98</f>
        <v>4.0853330000000003</v>
      </c>
      <c r="Q33" s="10">
        <f>IFERROR(((Table1[[#This Row],[Pressure]]-Table1[[#This Row],[PressureFinal]])/Table1[[#This Row],[Pressure]])*100,0)</f>
        <v>0.40849908217516545</v>
      </c>
      <c r="R33" s="10">
        <f>IFERROR(((Table1[[#This Row],[Vacuum]]-Table1[[#This Row],[VacuumFinal]])/Table1[[#This Row],[Vacuum]])*100,0)</f>
        <v>0.83018124507485436</v>
      </c>
      <c r="S33" s="20">
        <f>SUM(Table1[[#This Row],[Pallet]:[Vacuum_Percent_Decay]])</f>
        <v>11.757976427250021</v>
      </c>
      <c r="T33" s="21">
        <v>11.757976427250021</v>
      </c>
    </row>
    <row r="35" spans="1:20" x14ac:dyDescent="0.25">
      <c r="S35" s="18"/>
    </row>
    <row r="36" spans="1:20" x14ac:dyDescent="0.25">
      <c r="H36" s="2" t="s">
        <v>35</v>
      </c>
    </row>
    <row r="38" spans="1:20" x14ac:dyDescent="0.25">
      <c r="J38" s="2" t="s">
        <v>31</v>
      </c>
    </row>
    <row r="41" spans="1:20" x14ac:dyDescent="0.25">
      <c r="J41" s="2" t="s">
        <v>35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H99"/>
  <sheetViews>
    <sheetView topLeftCell="A51" zoomScaleNormal="100" workbookViewId="0">
      <selection activeCell="E64" sqref="E64:F64"/>
    </sheetView>
  </sheetViews>
  <sheetFormatPr defaultRowHeight="15" x14ac:dyDescent="0.25"/>
  <cols>
    <col min="1" max="4" width="9.140625" style="2"/>
    <col min="5" max="5" width="10.28515625" style="2" customWidth="1"/>
    <col min="6" max="16384" width="9.140625" style="2"/>
  </cols>
  <sheetData>
    <row r="1" spans="1:86" ht="18.75" x14ac:dyDescent="0.25">
      <c r="A1" s="29" t="s">
        <v>6</v>
      </c>
      <c r="B1" s="29"/>
      <c r="C1" s="29"/>
      <c r="D1" s="29"/>
    </row>
    <row r="2" spans="1:86" x14ac:dyDescent="0.25">
      <c r="A2" s="3">
        <f t="array" ref="A2:D9">[1]!'ATHENA_DataLeakTest[0,0],L32,C4'</f>
        <v>7</v>
      </c>
      <c r="B2" s="3">
        <v>2</v>
      </c>
      <c r="C2" s="3">
        <v>0</v>
      </c>
      <c r="D2" s="3">
        <v>0</v>
      </c>
      <c r="E2" s="2">
        <f t="array" ref="E2:CH2">[1]!'Program:CLNRM7_ATHENA.Data_PartType.String.DATA[0],L82,C82'</f>
        <v>88</v>
      </c>
      <c r="F2" s="2">
        <v>49</v>
      </c>
      <c r="G2" s="2">
        <v>52</v>
      </c>
      <c r="H2" s="2">
        <v>48</v>
      </c>
      <c r="I2" s="2">
        <v>54</v>
      </c>
      <c r="J2" s="2">
        <v>77</v>
      </c>
      <c r="K2" s="2">
        <v>70</v>
      </c>
      <c r="L2" s="2">
        <v>45</v>
      </c>
      <c r="M2" s="2">
        <v>48</v>
      </c>
      <c r="N2" s="2">
        <v>49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</row>
    <row r="3" spans="1:86" x14ac:dyDescent="0.25">
      <c r="A3" s="3">
        <v>-0.78320500000000004</v>
      </c>
      <c r="B3" s="3">
        <v>0</v>
      </c>
      <c r="C3" s="3">
        <v>0</v>
      </c>
      <c r="D3" s="3">
        <v>0</v>
      </c>
      <c r="E3" s="2" t="str">
        <f>IFERROR(IF(OR(E2=0,E2=13,E2= 10), "",CHAR(E2)), "")</f>
        <v>X</v>
      </c>
      <c r="F3" s="2" t="str">
        <f t="shared" ref="F3:BQ3" si="0">IFERROR(IF(OR(F2=0,F2=13,F2= 10), "",CHAR(F2)), "")</f>
        <v>1</v>
      </c>
      <c r="G3" s="2" t="str">
        <f t="shared" si="0"/>
        <v>4</v>
      </c>
      <c r="H3" s="2" t="str">
        <f t="shared" si="0"/>
        <v>0</v>
      </c>
      <c r="I3" s="2" t="str">
        <f t="shared" si="0"/>
        <v>6</v>
      </c>
      <c r="J3" s="2" t="str">
        <f t="shared" si="0"/>
        <v>M</v>
      </c>
      <c r="K3" s="2" t="str">
        <f t="shared" si="0"/>
        <v>F</v>
      </c>
      <c r="L3" s="2" t="str">
        <f t="shared" si="0"/>
        <v>-</v>
      </c>
      <c r="M3" s="2" t="str">
        <f t="shared" si="0"/>
        <v>0</v>
      </c>
      <c r="N3" s="2" t="str">
        <f t="shared" si="0"/>
        <v>1</v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 t="str">
        <f t="shared" si="0"/>
        <v/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 t="str">
        <f t="shared" si="0"/>
        <v/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ref="BR3:CH3" si="1">IFERROR(IF(OR(BR2=0,BR2=13,BR2= 10), "",CHAR(BR2)), "")</f>
        <v/>
      </c>
      <c r="BS3" s="2" t="str">
        <f t="shared" si="1"/>
        <v/>
      </c>
      <c r="BT3" s="2" t="str">
        <f t="shared" si="1"/>
        <v/>
      </c>
      <c r="BU3" s="2" t="str">
        <f t="shared" si="1"/>
        <v/>
      </c>
      <c r="BV3" s="2" t="str">
        <f t="shared" si="1"/>
        <v/>
      </c>
      <c r="BW3" s="2" t="str">
        <f t="shared" si="1"/>
        <v/>
      </c>
      <c r="BX3" s="2" t="str">
        <f t="shared" si="1"/>
        <v/>
      </c>
      <c r="BY3" s="2" t="str">
        <f t="shared" si="1"/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</row>
    <row r="4" spans="1:86" x14ac:dyDescent="0.25">
      <c r="A4" s="3">
        <v>0</v>
      </c>
      <c r="B4" s="3">
        <v>0</v>
      </c>
      <c r="C4" s="3">
        <v>0</v>
      </c>
      <c r="D4" s="3">
        <v>0</v>
      </c>
      <c r="E4" s="28" t="str">
        <f>CONCATENATE(E3,F3,G3,H3,I3,J3,K3,L3,M3,N3,O3,P3,Q3)</f>
        <v>X1406MF-01</v>
      </c>
      <c r="F4" s="30"/>
    </row>
    <row r="5" spans="1:86" x14ac:dyDescent="0.25">
      <c r="A5" s="3">
        <v>0</v>
      </c>
      <c r="B5" s="3">
        <v>0</v>
      </c>
      <c r="C5" s="3">
        <v>0</v>
      </c>
      <c r="D5" s="3">
        <v>0</v>
      </c>
    </row>
    <row r="6" spans="1:86" x14ac:dyDescent="0.25">
      <c r="A6" s="3">
        <v>0</v>
      </c>
      <c r="B6" s="3">
        <v>0</v>
      </c>
      <c r="C6" s="3">
        <v>0</v>
      </c>
      <c r="D6" s="3">
        <v>0</v>
      </c>
    </row>
    <row r="7" spans="1:86" x14ac:dyDescent="0.25">
      <c r="A7" s="3">
        <v>0</v>
      </c>
      <c r="B7" s="3">
        <v>0</v>
      </c>
      <c r="C7" s="3">
        <v>0</v>
      </c>
      <c r="D7" s="3">
        <v>0</v>
      </c>
    </row>
    <row r="8" spans="1:86" x14ac:dyDescent="0.25">
      <c r="A8" s="3">
        <v>7</v>
      </c>
      <c r="B8" s="3">
        <v>2</v>
      </c>
      <c r="C8" s="3">
        <v>0</v>
      </c>
      <c r="D8" s="3">
        <v>0</v>
      </c>
    </row>
    <row r="9" spans="1:86" x14ac:dyDescent="0.25">
      <c r="A9" s="3">
        <v>8.8754019999999993</v>
      </c>
      <c r="B9" s="3">
        <v>0</v>
      </c>
      <c r="C9" s="3">
        <v>0</v>
      </c>
      <c r="D9" s="3">
        <v>0</v>
      </c>
    </row>
    <row r="10" spans="1:86" s="5" customFormat="1" x14ac:dyDescent="0.25"/>
    <row r="11" spans="1:86" ht="18.75" x14ac:dyDescent="0.25">
      <c r="A11" s="23" t="s">
        <v>7</v>
      </c>
      <c r="B11" s="23"/>
      <c r="C11" s="23"/>
      <c r="D11" s="23"/>
    </row>
    <row r="12" spans="1:86" x14ac:dyDescent="0.25">
      <c r="A12" s="3">
        <f t="array" ref="A12:D19">[1]!'ATHENA2_DataLeakTest[0,0],L32,C4'</f>
        <v>4</v>
      </c>
      <c r="B12" s="3">
        <v>24</v>
      </c>
      <c r="C12" s="3">
        <v>0</v>
      </c>
      <c r="D12" s="3">
        <v>0</v>
      </c>
      <c r="E12" s="2">
        <f t="array" ref="E12:CH12">[1]!'Program:CLNRM7_ATHENA2.Data_PartType.String.DATA[0],L82,C82'</f>
        <v>88</v>
      </c>
      <c r="F12" s="2">
        <v>49</v>
      </c>
      <c r="G12" s="2">
        <v>53</v>
      </c>
      <c r="H12" s="2">
        <v>52</v>
      </c>
      <c r="I12" s="2">
        <v>52</v>
      </c>
      <c r="J12" s="2">
        <v>70</v>
      </c>
      <c r="K12" s="2">
        <v>45</v>
      </c>
      <c r="L12" s="2">
        <v>78</v>
      </c>
      <c r="M12" s="2">
        <v>51</v>
      </c>
      <c r="N12" s="2">
        <v>78</v>
      </c>
      <c r="O12" s="2">
        <v>55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2">
        <v>0</v>
      </c>
      <c r="CC12" s="2">
        <v>0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</row>
    <row r="13" spans="1:86" x14ac:dyDescent="0.25">
      <c r="A13" s="3">
        <v>-0.79779239999999996</v>
      </c>
      <c r="B13" s="3">
        <v>-1.158568</v>
      </c>
      <c r="C13" s="3">
        <v>-1.3040989999999999</v>
      </c>
      <c r="D13" s="3">
        <v>-1.434571</v>
      </c>
      <c r="E13" s="2" t="str">
        <f t="shared" ref="E13:AJ13" si="2">IFERROR(IF(OR(E12=0,E12=13,E12= 10), "",CHAR(E12)), "")</f>
        <v>X</v>
      </c>
      <c r="F13" s="2" t="str">
        <f t="shared" si="2"/>
        <v>1</v>
      </c>
      <c r="G13" s="2" t="str">
        <f t="shared" si="2"/>
        <v>5</v>
      </c>
      <c r="H13" s="2" t="str">
        <f t="shared" si="2"/>
        <v>4</v>
      </c>
      <c r="I13" s="2" t="str">
        <f t="shared" si="2"/>
        <v>4</v>
      </c>
      <c r="J13" s="2" t="str">
        <f t="shared" si="2"/>
        <v>F</v>
      </c>
      <c r="K13" s="2" t="str">
        <f t="shared" si="2"/>
        <v>-</v>
      </c>
      <c r="L13" s="2" t="str">
        <f t="shared" si="2"/>
        <v>N</v>
      </c>
      <c r="M13" s="2" t="str">
        <f t="shared" si="2"/>
        <v>3</v>
      </c>
      <c r="N13" s="2" t="str">
        <f t="shared" si="2"/>
        <v>N</v>
      </c>
      <c r="O13" s="2" t="str">
        <f t="shared" si="2"/>
        <v>7</v>
      </c>
      <c r="P13" s="2" t="str">
        <f t="shared" si="2"/>
        <v/>
      </c>
      <c r="Q13" s="2" t="str">
        <f t="shared" si="2"/>
        <v/>
      </c>
      <c r="R13" s="2" t="str">
        <f t="shared" si="2"/>
        <v/>
      </c>
      <c r="S13" s="2" t="str">
        <f t="shared" si="2"/>
        <v/>
      </c>
      <c r="T13" s="2" t="str">
        <f t="shared" si="2"/>
        <v/>
      </c>
      <c r="U13" s="2" t="str">
        <f t="shared" si="2"/>
        <v/>
      </c>
      <c r="V13" s="2" t="str">
        <f t="shared" si="2"/>
        <v/>
      </c>
      <c r="W13" s="2" t="str">
        <f t="shared" si="2"/>
        <v/>
      </c>
      <c r="X13" s="2" t="str">
        <f t="shared" si="2"/>
        <v/>
      </c>
      <c r="Y13" s="2" t="str">
        <f t="shared" si="2"/>
        <v/>
      </c>
      <c r="Z13" s="2" t="str">
        <f t="shared" si="2"/>
        <v/>
      </c>
      <c r="AA13" s="2" t="str">
        <f t="shared" si="2"/>
        <v/>
      </c>
      <c r="AB13" s="2" t="str">
        <f t="shared" si="2"/>
        <v/>
      </c>
      <c r="AC13" s="2" t="str">
        <f t="shared" si="2"/>
        <v/>
      </c>
      <c r="AD13" s="2" t="str">
        <f t="shared" si="2"/>
        <v/>
      </c>
      <c r="AE13" s="2" t="str">
        <f t="shared" si="2"/>
        <v/>
      </c>
      <c r="AF13" s="2" t="str">
        <f t="shared" si="2"/>
        <v/>
      </c>
      <c r="AG13" s="2" t="str">
        <f t="shared" si="2"/>
        <v/>
      </c>
      <c r="AH13" s="2" t="str">
        <f t="shared" si="2"/>
        <v/>
      </c>
      <c r="AI13" s="2" t="str">
        <f t="shared" si="2"/>
        <v/>
      </c>
      <c r="AJ13" s="2" t="str">
        <f t="shared" si="2"/>
        <v/>
      </c>
      <c r="AK13" s="2" t="str">
        <f t="shared" ref="AK13:BP13" si="3">IFERROR(IF(OR(AK12=0,AK12=13,AK12= 10), "",CHAR(AK12)), "")</f>
        <v/>
      </c>
      <c r="AL13" s="2" t="str">
        <f t="shared" si="3"/>
        <v/>
      </c>
      <c r="AM13" s="2" t="str">
        <f t="shared" si="3"/>
        <v/>
      </c>
      <c r="AN13" s="2" t="str">
        <f t="shared" si="3"/>
        <v/>
      </c>
      <c r="AO13" s="2" t="str">
        <f t="shared" si="3"/>
        <v/>
      </c>
      <c r="AP13" s="2" t="str">
        <f t="shared" si="3"/>
        <v/>
      </c>
      <c r="AQ13" s="2" t="str">
        <f t="shared" si="3"/>
        <v/>
      </c>
      <c r="AR13" s="2" t="str">
        <f t="shared" si="3"/>
        <v/>
      </c>
      <c r="AS13" s="2" t="str">
        <f t="shared" si="3"/>
        <v/>
      </c>
      <c r="AT13" s="2" t="str">
        <f t="shared" si="3"/>
        <v/>
      </c>
      <c r="AU13" s="2" t="str">
        <f t="shared" si="3"/>
        <v/>
      </c>
      <c r="AV13" s="2" t="str">
        <f t="shared" si="3"/>
        <v/>
      </c>
      <c r="AW13" s="2" t="str">
        <f t="shared" si="3"/>
        <v/>
      </c>
      <c r="AX13" s="2" t="str">
        <f t="shared" si="3"/>
        <v/>
      </c>
      <c r="AY13" s="2" t="str">
        <f t="shared" si="3"/>
        <v/>
      </c>
      <c r="AZ13" s="2" t="str">
        <f t="shared" si="3"/>
        <v/>
      </c>
      <c r="BA13" s="2" t="str">
        <f t="shared" si="3"/>
        <v/>
      </c>
      <c r="BB13" s="2" t="str">
        <f t="shared" si="3"/>
        <v/>
      </c>
      <c r="BC13" s="2" t="str">
        <f t="shared" si="3"/>
        <v/>
      </c>
      <c r="BD13" s="2" t="str">
        <f t="shared" si="3"/>
        <v/>
      </c>
      <c r="BE13" s="2" t="str">
        <f t="shared" si="3"/>
        <v/>
      </c>
      <c r="BF13" s="2" t="str">
        <f t="shared" si="3"/>
        <v/>
      </c>
      <c r="BG13" s="2" t="str">
        <f t="shared" si="3"/>
        <v/>
      </c>
      <c r="BH13" s="2" t="str">
        <f t="shared" si="3"/>
        <v/>
      </c>
      <c r="BI13" s="2" t="str">
        <f t="shared" si="3"/>
        <v/>
      </c>
      <c r="BJ13" s="2" t="str">
        <f t="shared" si="3"/>
        <v/>
      </c>
      <c r="BK13" s="2" t="str">
        <f t="shared" si="3"/>
        <v/>
      </c>
      <c r="BL13" s="2" t="str">
        <f t="shared" si="3"/>
        <v/>
      </c>
      <c r="BM13" s="2" t="str">
        <f t="shared" si="3"/>
        <v/>
      </c>
      <c r="BN13" s="2" t="str">
        <f t="shared" si="3"/>
        <v/>
      </c>
      <c r="BO13" s="2" t="str">
        <f t="shared" si="3"/>
        <v/>
      </c>
      <c r="BP13" s="2" t="str">
        <f t="shared" si="3"/>
        <v/>
      </c>
      <c r="BQ13" s="2" t="str">
        <f t="shared" ref="BQ13:CH13" si="4">IFERROR(IF(OR(BQ12=0,BQ12=13,BQ12= 10), "",CHAR(BQ12)), "")</f>
        <v/>
      </c>
      <c r="BR13" s="2" t="str">
        <f t="shared" si="4"/>
        <v/>
      </c>
      <c r="BS13" s="2" t="str">
        <f t="shared" si="4"/>
        <v/>
      </c>
      <c r="BT13" s="2" t="str">
        <f t="shared" si="4"/>
        <v/>
      </c>
      <c r="BU13" s="2" t="str">
        <f t="shared" si="4"/>
        <v/>
      </c>
      <c r="BV13" s="2" t="str">
        <f t="shared" si="4"/>
        <v/>
      </c>
      <c r="BW13" s="2" t="str">
        <f t="shared" si="4"/>
        <v/>
      </c>
      <c r="BX13" s="2" t="str">
        <f t="shared" si="4"/>
        <v/>
      </c>
      <c r="BY13" s="2" t="str">
        <f t="shared" si="4"/>
        <v/>
      </c>
      <c r="BZ13" s="2" t="str">
        <f t="shared" si="4"/>
        <v/>
      </c>
      <c r="CA13" s="2" t="str">
        <f t="shared" si="4"/>
        <v/>
      </c>
      <c r="CB13" s="2" t="str">
        <f t="shared" si="4"/>
        <v/>
      </c>
      <c r="CC13" s="2" t="str">
        <f t="shared" si="4"/>
        <v/>
      </c>
      <c r="CD13" s="2" t="str">
        <f t="shared" si="4"/>
        <v/>
      </c>
      <c r="CE13" s="2" t="str">
        <f t="shared" si="4"/>
        <v/>
      </c>
      <c r="CF13" s="2" t="str">
        <f t="shared" si="4"/>
        <v/>
      </c>
      <c r="CG13" s="2" t="str">
        <f t="shared" si="4"/>
        <v/>
      </c>
      <c r="CH13" s="2" t="str">
        <f t="shared" si="4"/>
        <v/>
      </c>
    </row>
    <row r="14" spans="1:86" x14ac:dyDescent="0.25">
      <c r="A14" s="3">
        <v>0</v>
      </c>
      <c r="B14" s="3">
        <v>0</v>
      </c>
      <c r="C14" s="3">
        <v>0</v>
      </c>
      <c r="D14" s="3">
        <v>0</v>
      </c>
      <c r="E14" s="28" t="str">
        <f>CONCATENATE(E13,F13,G13,H13,I13,J13,K13,L13,M13,N13,O13,P13,Q13)</f>
        <v>X1544F-N3N7</v>
      </c>
      <c r="F14" s="26"/>
    </row>
    <row r="15" spans="1:86" x14ac:dyDescent="0.25">
      <c r="A15" s="3">
        <v>0</v>
      </c>
      <c r="B15" s="3">
        <v>0</v>
      </c>
      <c r="C15" s="3">
        <v>0</v>
      </c>
      <c r="D15" s="3">
        <v>0</v>
      </c>
    </row>
    <row r="16" spans="1:86" x14ac:dyDescent="0.25">
      <c r="A16" s="3">
        <v>0</v>
      </c>
      <c r="B16" s="3">
        <v>0</v>
      </c>
      <c r="C16" s="3">
        <v>0</v>
      </c>
      <c r="D16" s="3">
        <v>0</v>
      </c>
    </row>
    <row r="17" spans="1:86" x14ac:dyDescent="0.25">
      <c r="A17" s="3">
        <v>0</v>
      </c>
      <c r="B17" s="3">
        <v>0</v>
      </c>
      <c r="C17" s="3">
        <v>0</v>
      </c>
      <c r="D17" s="3">
        <v>0</v>
      </c>
    </row>
    <row r="18" spans="1:86" x14ac:dyDescent="0.25">
      <c r="A18" s="3">
        <v>3</v>
      </c>
      <c r="B18" s="3">
        <v>24</v>
      </c>
      <c r="C18" s="3">
        <v>0</v>
      </c>
      <c r="D18" s="3">
        <v>0</v>
      </c>
    </row>
    <row r="19" spans="1:86" x14ac:dyDescent="0.25">
      <c r="A19" s="3">
        <v>7.6483720000000002</v>
      </c>
      <c r="B19" s="3">
        <v>7.6437210000000002</v>
      </c>
      <c r="C19" s="3">
        <v>7.2696899999999998</v>
      </c>
      <c r="D19" s="3">
        <v>6.9280739999999996</v>
      </c>
    </row>
    <row r="20" spans="1:86" s="5" customFormat="1" x14ac:dyDescent="0.25"/>
    <row r="21" spans="1:86" ht="18.75" x14ac:dyDescent="0.25">
      <c r="A21" s="23" t="s">
        <v>10</v>
      </c>
      <c r="B21" s="23"/>
      <c r="C21" s="23"/>
      <c r="D21" s="23"/>
    </row>
    <row r="22" spans="1:86" x14ac:dyDescent="0.25">
      <c r="A22" s="3">
        <f t="array" ref="A22:D29">[1]!'Program:CLNRM5_ECOLAB.Data_LeakTest[0,0],L32,C4'</f>
        <v>20</v>
      </c>
      <c r="B22" s="3">
        <v>0</v>
      </c>
      <c r="C22" s="3">
        <v>0</v>
      </c>
      <c r="D22" s="3">
        <v>0</v>
      </c>
      <c r="E22" s="2">
        <f t="array" ref="E22:CH22">[1]!'Program:CLNRM5_ECOLAB.Data_PartType.String.DATA[0],L82,C82'</f>
        <v>88</v>
      </c>
      <c r="F22" s="2">
        <v>49</v>
      </c>
      <c r="G22" s="2">
        <v>53</v>
      </c>
      <c r="H22" s="2">
        <v>51</v>
      </c>
      <c r="I22" s="2">
        <v>56</v>
      </c>
      <c r="J22" s="2">
        <v>70</v>
      </c>
      <c r="K22" s="2">
        <v>45</v>
      </c>
      <c r="L22" s="2">
        <v>48</v>
      </c>
      <c r="M22" s="2">
        <v>49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2">
        <v>0</v>
      </c>
      <c r="CC22" s="2">
        <v>0</v>
      </c>
      <c r="CD22" s="2">
        <v>0</v>
      </c>
      <c r="CE22" s="2">
        <v>0</v>
      </c>
      <c r="CF22" s="2">
        <v>0</v>
      </c>
      <c r="CG22" s="2">
        <v>0</v>
      </c>
      <c r="CH22" s="2">
        <v>0</v>
      </c>
    </row>
    <row r="23" spans="1:86" x14ac:dyDescent="0.25">
      <c r="A23" s="3">
        <v>6.9121959999999998</v>
      </c>
      <c r="B23" s="3">
        <v>7.1591529999999999</v>
      </c>
      <c r="C23" s="3">
        <v>7.1462919999999999</v>
      </c>
      <c r="D23" s="3">
        <v>7.2333670000000003</v>
      </c>
      <c r="E23" s="2" t="str">
        <f t="shared" ref="E23:AJ23" si="5">IFERROR(IF(OR(E22=0,E22=13,E22= 10), "",CHAR(E22)), "")</f>
        <v>X</v>
      </c>
      <c r="F23" s="2" t="str">
        <f t="shared" si="5"/>
        <v>1</v>
      </c>
      <c r="G23" s="2" t="str">
        <f t="shared" si="5"/>
        <v>5</v>
      </c>
      <c r="H23" s="2" t="str">
        <f t="shared" si="5"/>
        <v>3</v>
      </c>
      <c r="I23" s="2" t="str">
        <f t="shared" si="5"/>
        <v>8</v>
      </c>
      <c r="J23" s="2" t="str">
        <f t="shared" si="5"/>
        <v>F</v>
      </c>
      <c r="K23" s="2" t="str">
        <f t="shared" si="5"/>
        <v>-</v>
      </c>
      <c r="L23" s="2" t="str">
        <f t="shared" si="5"/>
        <v>0</v>
      </c>
      <c r="M23" s="2" t="str">
        <f t="shared" si="5"/>
        <v>1</v>
      </c>
      <c r="N23" s="2" t="str">
        <f t="shared" si="5"/>
        <v/>
      </c>
      <c r="O23" s="2" t="str">
        <f t="shared" si="5"/>
        <v/>
      </c>
      <c r="P23" s="2" t="str">
        <f t="shared" si="5"/>
        <v/>
      </c>
      <c r="Q23" s="2" t="str">
        <f t="shared" si="5"/>
        <v/>
      </c>
      <c r="R23" s="2" t="str">
        <f t="shared" si="5"/>
        <v/>
      </c>
      <c r="S23" s="2" t="str">
        <f t="shared" si="5"/>
        <v/>
      </c>
      <c r="T23" s="2" t="str">
        <f t="shared" si="5"/>
        <v/>
      </c>
      <c r="U23" s="2" t="str">
        <f t="shared" si="5"/>
        <v/>
      </c>
      <c r="V23" s="2" t="str">
        <f t="shared" si="5"/>
        <v/>
      </c>
      <c r="W23" s="2" t="str">
        <f t="shared" si="5"/>
        <v/>
      </c>
      <c r="X23" s="2" t="str">
        <f t="shared" si="5"/>
        <v/>
      </c>
      <c r="Y23" s="2" t="str">
        <f t="shared" si="5"/>
        <v/>
      </c>
      <c r="Z23" s="2" t="str">
        <f t="shared" si="5"/>
        <v/>
      </c>
      <c r="AA23" s="2" t="str">
        <f t="shared" si="5"/>
        <v/>
      </c>
      <c r="AB23" s="2" t="str">
        <f t="shared" si="5"/>
        <v/>
      </c>
      <c r="AC23" s="2" t="str">
        <f t="shared" si="5"/>
        <v/>
      </c>
      <c r="AD23" s="2" t="str">
        <f t="shared" si="5"/>
        <v/>
      </c>
      <c r="AE23" s="2" t="str">
        <f t="shared" si="5"/>
        <v/>
      </c>
      <c r="AF23" s="2" t="str">
        <f t="shared" si="5"/>
        <v/>
      </c>
      <c r="AG23" s="2" t="str">
        <f t="shared" si="5"/>
        <v/>
      </c>
      <c r="AH23" s="2" t="str">
        <f t="shared" si="5"/>
        <v/>
      </c>
      <c r="AI23" s="2" t="str">
        <f t="shared" si="5"/>
        <v/>
      </c>
      <c r="AJ23" s="2" t="str">
        <f t="shared" si="5"/>
        <v/>
      </c>
      <c r="AK23" s="2" t="str">
        <f t="shared" ref="AK23:BP23" si="6">IFERROR(IF(OR(AK22=0,AK22=13,AK22= 10), "",CHAR(AK22)), "")</f>
        <v/>
      </c>
      <c r="AL23" s="2" t="str">
        <f t="shared" si="6"/>
        <v/>
      </c>
      <c r="AM23" s="2" t="str">
        <f t="shared" si="6"/>
        <v/>
      </c>
      <c r="AN23" s="2" t="str">
        <f t="shared" si="6"/>
        <v/>
      </c>
      <c r="AO23" s="2" t="str">
        <f t="shared" si="6"/>
        <v/>
      </c>
      <c r="AP23" s="2" t="str">
        <f t="shared" si="6"/>
        <v/>
      </c>
      <c r="AQ23" s="2" t="str">
        <f t="shared" si="6"/>
        <v/>
      </c>
      <c r="AR23" s="2" t="str">
        <f t="shared" si="6"/>
        <v/>
      </c>
      <c r="AS23" s="2" t="str">
        <f t="shared" si="6"/>
        <v/>
      </c>
      <c r="AT23" s="2" t="str">
        <f t="shared" si="6"/>
        <v/>
      </c>
      <c r="AU23" s="2" t="str">
        <f t="shared" si="6"/>
        <v/>
      </c>
      <c r="AV23" s="2" t="str">
        <f t="shared" si="6"/>
        <v/>
      </c>
      <c r="AW23" s="2" t="str">
        <f t="shared" si="6"/>
        <v/>
      </c>
      <c r="AX23" s="2" t="str">
        <f t="shared" si="6"/>
        <v/>
      </c>
      <c r="AY23" s="2" t="str">
        <f t="shared" si="6"/>
        <v/>
      </c>
      <c r="AZ23" s="2" t="str">
        <f t="shared" si="6"/>
        <v/>
      </c>
      <c r="BA23" s="2" t="str">
        <f t="shared" si="6"/>
        <v/>
      </c>
      <c r="BB23" s="2" t="str">
        <f t="shared" si="6"/>
        <v/>
      </c>
      <c r="BC23" s="2" t="str">
        <f t="shared" si="6"/>
        <v/>
      </c>
      <c r="BD23" s="2" t="str">
        <f t="shared" si="6"/>
        <v/>
      </c>
      <c r="BE23" s="2" t="str">
        <f t="shared" si="6"/>
        <v/>
      </c>
      <c r="BF23" s="2" t="str">
        <f t="shared" si="6"/>
        <v/>
      </c>
      <c r="BG23" s="2" t="str">
        <f t="shared" si="6"/>
        <v/>
      </c>
      <c r="BH23" s="2" t="str">
        <f t="shared" si="6"/>
        <v/>
      </c>
      <c r="BI23" s="2" t="str">
        <f t="shared" si="6"/>
        <v/>
      </c>
      <c r="BJ23" s="2" t="str">
        <f t="shared" si="6"/>
        <v/>
      </c>
      <c r="BK23" s="2" t="str">
        <f t="shared" si="6"/>
        <v/>
      </c>
      <c r="BL23" s="2" t="str">
        <f t="shared" si="6"/>
        <v/>
      </c>
      <c r="BM23" s="2" t="str">
        <f t="shared" si="6"/>
        <v/>
      </c>
      <c r="BN23" s="2" t="str">
        <f t="shared" si="6"/>
        <v/>
      </c>
      <c r="BO23" s="2" t="str">
        <f t="shared" si="6"/>
        <v/>
      </c>
      <c r="BP23" s="2" t="str">
        <f t="shared" si="6"/>
        <v/>
      </c>
      <c r="BQ23" s="2" t="str">
        <f t="shared" ref="BQ23:CH23" si="7">IFERROR(IF(OR(BQ22=0,BQ22=13,BQ22= 10), "",CHAR(BQ22)), "")</f>
        <v/>
      </c>
      <c r="BR23" s="2" t="str">
        <f t="shared" si="7"/>
        <v/>
      </c>
      <c r="BS23" s="2" t="str">
        <f t="shared" si="7"/>
        <v/>
      </c>
      <c r="BT23" s="2" t="str">
        <f t="shared" si="7"/>
        <v/>
      </c>
      <c r="BU23" s="2" t="str">
        <f t="shared" si="7"/>
        <v/>
      </c>
      <c r="BV23" s="2" t="str">
        <f t="shared" si="7"/>
        <v/>
      </c>
      <c r="BW23" s="2" t="str">
        <f t="shared" si="7"/>
        <v/>
      </c>
      <c r="BX23" s="2" t="str">
        <f t="shared" si="7"/>
        <v/>
      </c>
      <c r="BY23" s="2" t="str">
        <f t="shared" si="7"/>
        <v/>
      </c>
      <c r="BZ23" s="2" t="str">
        <f t="shared" si="7"/>
        <v/>
      </c>
      <c r="CA23" s="2" t="str">
        <f t="shared" si="7"/>
        <v/>
      </c>
      <c r="CB23" s="2" t="str">
        <f t="shared" si="7"/>
        <v/>
      </c>
      <c r="CC23" s="2" t="str">
        <f t="shared" si="7"/>
        <v/>
      </c>
      <c r="CD23" s="2" t="str">
        <f t="shared" si="7"/>
        <v/>
      </c>
      <c r="CE23" s="2" t="str">
        <f t="shared" si="7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</row>
    <row r="24" spans="1:86" x14ac:dyDescent="0.25">
      <c r="A24" s="3">
        <v>-1.6187549999999999</v>
      </c>
      <c r="B24" s="3">
        <v>-2.144018</v>
      </c>
      <c r="C24" s="3">
        <v>-2.196529</v>
      </c>
      <c r="D24" s="3">
        <v>-1.898687</v>
      </c>
      <c r="E24" s="28" t="str">
        <f>CONCATENATE(E23,F23,G23,H23,I23,J23,K23,L23,M23,N23,O23,P23,Q23)</f>
        <v>X1538F-01</v>
      </c>
      <c r="F24" s="26"/>
    </row>
    <row r="25" spans="1:86" x14ac:dyDescent="0.25">
      <c r="A25" s="3">
        <v>0</v>
      </c>
      <c r="B25" s="3">
        <v>0</v>
      </c>
      <c r="C25" s="3">
        <v>0</v>
      </c>
      <c r="D25" s="3">
        <v>0</v>
      </c>
    </row>
    <row r="26" spans="1:86" x14ac:dyDescent="0.25">
      <c r="A26" s="3">
        <v>0</v>
      </c>
      <c r="B26" s="3">
        <v>0</v>
      </c>
      <c r="C26" s="3">
        <v>0</v>
      </c>
      <c r="D26" s="3">
        <v>0</v>
      </c>
    </row>
    <row r="27" spans="1:86" x14ac:dyDescent="0.25">
      <c r="A27" s="3">
        <v>0</v>
      </c>
      <c r="B27" s="3">
        <v>0</v>
      </c>
      <c r="C27" s="3">
        <v>0</v>
      </c>
      <c r="D27" s="3">
        <v>0</v>
      </c>
    </row>
    <row r="28" spans="1:86" x14ac:dyDescent="0.25">
      <c r="A28" s="3">
        <v>0</v>
      </c>
      <c r="B28" s="3">
        <v>0</v>
      </c>
      <c r="C28" s="3">
        <v>0</v>
      </c>
      <c r="D28" s="3">
        <v>0</v>
      </c>
    </row>
    <row r="29" spans="1:86" x14ac:dyDescent="0.25">
      <c r="A29" s="3">
        <v>0</v>
      </c>
      <c r="B29" s="3">
        <v>0</v>
      </c>
      <c r="C29" s="3">
        <v>0</v>
      </c>
      <c r="D29" s="3">
        <v>0</v>
      </c>
    </row>
    <row r="30" spans="1:86" s="5" customFormat="1" x14ac:dyDescent="0.25"/>
    <row r="31" spans="1:86" ht="18.75" x14ac:dyDescent="0.25">
      <c r="A31" s="23" t="s">
        <v>12</v>
      </c>
      <c r="B31" s="23"/>
      <c r="C31" s="23"/>
      <c r="D31" s="23"/>
    </row>
    <row r="32" spans="1:86" x14ac:dyDescent="0.25">
      <c r="A32" s="1">
        <f t="array" ref="A32:D39">[1]!'Program:CLNRM4_ECOLAB_2.Data_LeakTest[0,0],L32,C4'</f>
        <v>15</v>
      </c>
      <c r="B32" s="1">
        <v>0</v>
      </c>
      <c r="C32" s="1">
        <v>0</v>
      </c>
      <c r="D32" s="1">
        <v>0</v>
      </c>
      <c r="E32" s="2">
        <f t="array" ref="E32:CH32">[1]!'Program:CLNRM4_ECOLAB_2.Data_PartType_Ecolab2.String.DATA[0],L82,C82'</f>
        <v>88</v>
      </c>
      <c r="F32" s="2">
        <v>49</v>
      </c>
      <c r="G32" s="2">
        <v>50</v>
      </c>
      <c r="H32" s="2">
        <v>51</v>
      </c>
      <c r="I32" s="2">
        <v>56</v>
      </c>
      <c r="J32" s="2">
        <v>76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2">
        <v>0</v>
      </c>
      <c r="CD32" s="2">
        <v>0</v>
      </c>
      <c r="CE32" s="2">
        <v>0</v>
      </c>
      <c r="CF32" s="2">
        <v>0</v>
      </c>
      <c r="CG32" s="2">
        <v>0</v>
      </c>
      <c r="CH32" s="2">
        <v>0</v>
      </c>
    </row>
    <row r="33" spans="1:86" x14ac:dyDescent="0.25">
      <c r="A33" s="1">
        <v>-2.7594530000000002</v>
      </c>
      <c r="B33" s="1">
        <v>-2.9830109999999999</v>
      </c>
      <c r="C33" s="1">
        <v>-2.8455940000000002</v>
      </c>
      <c r="D33" s="1">
        <v>-3.4119549999999998</v>
      </c>
      <c r="E33" s="2" t="str">
        <f t="shared" ref="E33:AJ33" si="8">IFERROR(IF(OR(E32=0,E32=13,E32= 10), "",CHAR(E32)), "")</f>
        <v>X</v>
      </c>
      <c r="F33" s="2" t="str">
        <f t="shared" si="8"/>
        <v>1</v>
      </c>
      <c r="G33" s="2" t="str">
        <f t="shared" si="8"/>
        <v>2</v>
      </c>
      <c r="H33" s="2" t="str">
        <f t="shared" si="8"/>
        <v>3</v>
      </c>
      <c r="I33" s="2" t="str">
        <f t="shared" si="8"/>
        <v>8</v>
      </c>
      <c r="J33" s="2" t="str">
        <f t="shared" si="8"/>
        <v>L</v>
      </c>
      <c r="K33" s="2" t="str">
        <f t="shared" si="8"/>
        <v/>
      </c>
      <c r="L33" s="2" t="str">
        <f t="shared" si="8"/>
        <v/>
      </c>
      <c r="M33" s="2" t="str">
        <f t="shared" si="8"/>
        <v/>
      </c>
      <c r="N33" s="2" t="str">
        <f t="shared" si="8"/>
        <v/>
      </c>
      <c r="O33" s="2" t="str">
        <f t="shared" si="8"/>
        <v/>
      </c>
      <c r="P33" s="2" t="str">
        <f t="shared" si="8"/>
        <v/>
      </c>
      <c r="Q33" s="2" t="str">
        <f t="shared" si="8"/>
        <v/>
      </c>
      <c r="R33" s="2" t="str">
        <f t="shared" si="8"/>
        <v/>
      </c>
      <c r="S33" s="2" t="str">
        <f t="shared" si="8"/>
        <v/>
      </c>
      <c r="T33" s="2" t="str">
        <f t="shared" si="8"/>
        <v/>
      </c>
      <c r="U33" s="2" t="str">
        <f t="shared" si="8"/>
        <v/>
      </c>
      <c r="V33" s="2" t="str">
        <f t="shared" si="8"/>
        <v/>
      </c>
      <c r="W33" s="2" t="str">
        <f t="shared" si="8"/>
        <v/>
      </c>
      <c r="X33" s="2" t="str">
        <f t="shared" si="8"/>
        <v/>
      </c>
      <c r="Y33" s="2" t="str">
        <f t="shared" si="8"/>
        <v/>
      </c>
      <c r="Z33" s="2" t="str">
        <f t="shared" si="8"/>
        <v/>
      </c>
      <c r="AA33" s="2" t="str">
        <f t="shared" si="8"/>
        <v/>
      </c>
      <c r="AB33" s="2" t="str">
        <f t="shared" si="8"/>
        <v/>
      </c>
      <c r="AC33" s="2" t="str">
        <f t="shared" si="8"/>
        <v/>
      </c>
      <c r="AD33" s="2" t="str">
        <f t="shared" si="8"/>
        <v/>
      </c>
      <c r="AE33" s="2" t="str">
        <f t="shared" si="8"/>
        <v/>
      </c>
      <c r="AF33" s="2" t="str">
        <f t="shared" si="8"/>
        <v/>
      </c>
      <c r="AG33" s="2" t="str">
        <f t="shared" si="8"/>
        <v/>
      </c>
      <c r="AH33" s="2" t="str">
        <f t="shared" si="8"/>
        <v/>
      </c>
      <c r="AI33" s="2" t="str">
        <f t="shared" si="8"/>
        <v/>
      </c>
      <c r="AJ33" s="2" t="str">
        <f t="shared" si="8"/>
        <v/>
      </c>
      <c r="AK33" s="2" t="str">
        <f t="shared" ref="AK33:BP33" si="9">IFERROR(IF(OR(AK32=0,AK32=13,AK32= 10), "",CHAR(AK32)), "")</f>
        <v/>
      </c>
      <c r="AL33" s="2" t="str">
        <f t="shared" si="9"/>
        <v/>
      </c>
      <c r="AM33" s="2" t="str">
        <f t="shared" si="9"/>
        <v/>
      </c>
      <c r="AN33" s="2" t="str">
        <f t="shared" si="9"/>
        <v/>
      </c>
      <c r="AO33" s="2" t="str">
        <f t="shared" si="9"/>
        <v/>
      </c>
      <c r="AP33" s="2" t="str">
        <f t="shared" si="9"/>
        <v/>
      </c>
      <c r="AQ33" s="2" t="str">
        <f t="shared" si="9"/>
        <v/>
      </c>
      <c r="AR33" s="2" t="str">
        <f t="shared" si="9"/>
        <v/>
      </c>
      <c r="AS33" s="2" t="str">
        <f t="shared" si="9"/>
        <v/>
      </c>
      <c r="AT33" s="2" t="str">
        <f t="shared" si="9"/>
        <v/>
      </c>
      <c r="AU33" s="2" t="str">
        <f t="shared" si="9"/>
        <v/>
      </c>
      <c r="AV33" s="2" t="str">
        <f t="shared" si="9"/>
        <v/>
      </c>
      <c r="AW33" s="2" t="str">
        <f t="shared" si="9"/>
        <v/>
      </c>
      <c r="AX33" s="2" t="str">
        <f t="shared" si="9"/>
        <v/>
      </c>
      <c r="AY33" s="2" t="str">
        <f t="shared" si="9"/>
        <v/>
      </c>
      <c r="AZ33" s="2" t="str">
        <f t="shared" si="9"/>
        <v/>
      </c>
      <c r="BA33" s="2" t="str">
        <f t="shared" si="9"/>
        <v/>
      </c>
      <c r="BB33" s="2" t="str">
        <f t="shared" si="9"/>
        <v/>
      </c>
      <c r="BC33" s="2" t="str">
        <f t="shared" si="9"/>
        <v/>
      </c>
      <c r="BD33" s="2" t="str">
        <f t="shared" si="9"/>
        <v/>
      </c>
      <c r="BE33" s="2" t="str">
        <f t="shared" si="9"/>
        <v/>
      </c>
      <c r="BF33" s="2" t="str">
        <f t="shared" si="9"/>
        <v/>
      </c>
      <c r="BG33" s="2" t="str">
        <f t="shared" si="9"/>
        <v/>
      </c>
      <c r="BH33" s="2" t="str">
        <f t="shared" si="9"/>
        <v/>
      </c>
      <c r="BI33" s="2" t="str">
        <f t="shared" si="9"/>
        <v/>
      </c>
      <c r="BJ33" s="2" t="str">
        <f t="shared" si="9"/>
        <v/>
      </c>
      <c r="BK33" s="2" t="str">
        <f t="shared" si="9"/>
        <v/>
      </c>
      <c r="BL33" s="2" t="str">
        <f t="shared" si="9"/>
        <v/>
      </c>
      <c r="BM33" s="2" t="str">
        <f t="shared" si="9"/>
        <v/>
      </c>
      <c r="BN33" s="2" t="str">
        <f t="shared" si="9"/>
        <v/>
      </c>
      <c r="BO33" s="2" t="str">
        <f t="shared" si="9"/>
        <v/>
      </c>
      <c r="BP33" s="2" t="str">
        <f t="shared" si="9"/>
        <v/>
      </c>
      <c r="BQ33" s="2" t="str">
        <f t="shared" ref="BQ33:CH33" si="10">IFERROR(IF(OR(BQ32=0,BQ32=13,BQ32= 10), "",CHAR(BQ32)), "")</f>
        <v/>
      </c>
      <c r="BR33" s="2" t="str">
        <f t="shared" si="10"/>
        <v/>
      </c>
      <c r="BS33" s="2" t="str">
        <f t="shared" si="10"/>
        <v/>
      </c>
      <c r="BT33" s="2" t="str">
        <f t="shared" si="10"/>
        <v/>
      </c>
      <c r="BU33" s="2" t="str">
        <f t="shared" si="10"/>
        <v/>
      </c>
      <c r="BV33" s="2" t="str">
        <f t="shared" si="10"/>
        <v/>
      </c>
      <c r="BW33" s="2" t="str">
        <f t="shared" si="10"/>
        <v/>
      </c>
      <c r="BX33" s="2" t="str">
        <f t="shared" si="10"/>
        <v/>
      </c>
      <c r="BY33" s="2" t="str">
        <f t="shared" si="10"/>
        <v/>
      </c>
      <c r="BZ33" s="2" t="str">
        <f t="shared" si="10"/>
        <v/>
      </c>
      <c r="CA33" s="2" t="str">
        <f t="shared" si="10"/>
        <v/>
      </c>
      <c r="CB33" s="2" t="str">
        <f t="shared" si="10"/>
        <v/>
      </c>
      <c r="CC33" s="2" t="str">
        <f t="shared" si="10"/>
        <v/>
      </c>
      <c r="CD33" s="2" t="str">
        <f t="shared" si="10"/>
        <v/>
      </c>
      <c r="CE33" s="2" t="str">
        <f t="shared" si="10"/>
        <v/>
      </c>
      <c r="CF33" s="2" t="str">
        <f t="shared" si="10"/>
        <v/>
      </c>
      <c r="CG33" s="2" t="str">
        <f t="shared" si="10"/>
        <v/>
      </c>
      <c r="CH33" s="2" t="str">
        <f t="shared" si="10"/>
        <v/>
      </c>
    </row>
    <row r="34" spans="1:86" x14ac:dyDescent="0.25">
      <c r="A34" s="1">
        <v>1.2664070000000001</v>
      </c>
      <c r="B34" s="1">
        <v>1.428474</v>
      </c>
      <c r="C34" s="1">
        <v>1.0811900000000001</v>
      </c>
      <c r="D34" s="1">
        <v>1.1865600000000001</v>
      </c>
      <c r="E34" s="28" t="str">
        <f>CONCATENATE(E33,F33,G33,H33,I33,J33,K33,L33,M33,N33,O33,P33,Q33)</f>
        <v>X1238L</v>
      </c>
      <c r="F34" s="26"/>
    </row>
    <row r="35" spans="1:86" x14ac:dyDescent="0.25">
      <c r="A35" s="1">
        <v>0</v>
      </c>
      <c r="B35" s="1">
        <v>0</v>
      </c>
      <c r="C35" s="1">
        <v>0</v>
      </c>
      <c r="D35" s="1">
        <v>0</v>
      </c>
    </row>
    <row r="36" spans="1:86" x14ac:dyDescent="0.25">
      <c r="A36" s="1">
        <v>-0.27993269999999998</v>
      </c>
      <c r="B36" s="1">
        <v>0</v>
      </c>
      <c r="C36" s="1">
        <v>0</v>
      </c>
      <c r="D36" s="1">
        <v>0</v>
      </c>
    </row>
    <row r="37" spans="1:86" x14ac:dyDescent="0.25">
      <c r="A37" s="1">
        <v>-5.1172820000000001E-2</v>
      </c>
      <c r="B37" s="1">
        <v>0</v>
      </c>
      <c r="C37" s="1">
        <v>0</v>
      </c>
      <c r="D37" s="1">
        <v>0</v>
      </c>
    </row>
    <row r="38" spans="1:86" x14ac:dyDescent="0.25">
      <c r="A38" s="1">
        <v>0</v>
      </c>
      <c r="B38" s="1">
        <v>0</v>
      </c>
      <c r="C38" s="1">
        <v>0</v>
      </c>
      <c r="D38" s="1">
        <v>0</v>
      </c>
    </row>
    <row r="39" spans="1:86" x14ac:dyDescent="0.25">
      <c r="A39" s="1">
        <v>0</v>
      </c>
      <c r="B39" s="1">
        <v>0</v>
      </c>
      <c r="C39" s="1">
        <v>0</v>
      </c>
      <c r="D39" s="1">
        <v>0</v>
      </c>
    </row>
    <row r="40" spans="1:86" s="5" customFormat="1" x14ac:dyDescent="0.25"/>
    <row r="41" spans="1:86" ht="18.75" x14ac:dyDescent="0.25">
      <c r="A41" s="23" t="s">
        <v>15</v>
      </c>
      <c r="B41" s="23"/>
      <c r="C41" s="23"/>
      <c r="D41" s="23"/>
    </row>
    <row r="42" spans="1:86" x14ac:dyDescent="0.25">
      <c r="A42" s="7">
        <f t="array" ref="A42:D49">[1]!'Program:CLNRM4_NESSIE.Data_LeakTest[0,0],L32,C4'</f>
        <v>0</v>
      </c>
      <c r="B42" s="7">
        <v>0</v>
      </c>
      <c r="C42" s="7">
        <v>0</v>
      </c>
      <c r="D42" s="7">
        <v>0</v>
      </c>
      <c r="E42" s="2">
        <f t="array" ref="E42:CH42">[1]!'Program:CLNRM4_NESSIE.Data_PartType.String.DATA[0],L82,C82'</f>
        <v>88</v>
      </c>
      <c r="F42" s="2">
        <v>48</v>
      </c>
      <c r="G42" s="2">
        <v>57</v>
      </c>
      <c r="H42" s="2">
        <v>53</v>
      </c>
      <c r="I42" s="2">
        <v>49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0</v>
      </c>
      <c r="BY42" s="2">
        <v>0</v>
      </c>
      <c r="BZ42" s="2">
        <v>0</v>
      </c>
      <c r="CA42" s="2">
        <v>0</v>
      </c>
      <c r="CB42" s="2">
        <v>0</v>
      </c>
      <c r="CC42" s="2">
        <v>0</v>
      </c>
      <c r="CD42" s="2">
        <v>0</v>
      </c>
      <c r="CE42" s="2">
        <v>0</v>
      </c>
      <c r="CF42" s="2">
        <v>0</v>
      </c>
      <c r="CG42" s="2">
        <v>0</v>
      </c>
      <c r="CH42" s="2">
        <v>0</v>
      </c>
    </row>
    <row r="43" spans="1:86" x14ac:dyDescent="0.25">
      <c r="A43" s="7">
        <v>9999</v>
      </c>
      <c r="B43" s="7">
        <v>0</v>
      </c>
      <c r="C43" s="7">
        <v>0</v>
      </c>
      <c r="D43" s="7">
        <v>0</v>
      </c>
      <c r="E43" s="2" t="str">
        <f t="shared" ref="E43:AJ43" si="11">IFERROR(IF(OR(E42=0,E42=13,E42= 10), "",CHAR(E42)), "")</f>
        <v>X</v>
      </c>
      <c r="F43" s="2" t="str">
        <f t="shared" si="11"/>
        <v>0</v>
      </c>
      <c r="G43" s="2" t="str">
        <f t="shared" si="11"/>
        <v>9</v>
      </c>
      <c r="H43" s="2" t="str">
        <f t="shared" si="11"/>
        <v>5</v>
      </c>
      <c r="I43" s="2" t="str">
        <f t="shared" si="11"/>
        <v>1</v>
      </c>
      <c r="J43" s="2" t="str">
        <f t="shared" si="11"/>
        <v/>
      </c>
      <c r="K43" s="2" t="str">
        <f t="shared" si="11"/>
        <v/>
      </c>
      <c r="L43" s="2" t="str">
        <f t="shared" si="11"/>
        <v/>
      </c>
      <c r="M43" s="2" t="str">
        <f t="shared" si="11"/>
        <v/>
      </c>
      <c r="N43" s="2" t="str">
        <f t="shared" si="11"/>
        <v/>
      </c>
      <c r="O43" s="2" t="str">
        <f t="shared" si="11"/>
        <v/>
      </c>
      <c r="P43" s="2" t="str">
        <f t="shared" si="11"/>
        <v/>
      </c>
      <c r="Q43" s="2" t="str">
        <f t="shared" si="11"/>
        <v/>
      </c>
      <c r="R43" s="2" t="str">
        <f t="shared" si="11"/>
        <v/>
      </c>
      <c r="S43" s="2" t="str">
        <f t="shared" si="11"/>
        <v/>
      </c>
      <c r="T43" s="2" t="str">
        <f t="shared" si="11"/>
        <v/>
      </c>
      <c r="U43" s="2" t="str">
        <f t="shared" si="11"/>
        <v/>
      </c>
      <c r="V43" s="2" t="str">
        <f t="shared" si="11"/>
        <v/>
      </c>
      <c r="W43" s="2" t="str">
        <f t="shared" si="11"/>
        <v/>
      </c>
      <c r="X43" s="2" t="str">
        <f t="shared" si="11"/>
        <v/>
      </c>
      <c r="Y43" s="2" t="str">
        <f t="shared" si="11"/>
        <v/>
      </c>
      <c r="Z43" s="2" t="str">
        <f t="shared" si="11"/>
        <v/>
      </c>
      <c r="AA43" s="2" t="str">
        <f t="shared" si="11"/>
        <v/>
      </c>
      <c r="AB43" s="2" t="str">
        <f t="shared" si="11"/>
        <v/>
      </c>
      <c r="AC43" s="2" t="str">
        <f t="shared" si="11"/>
        <v/>
      </c>
      <c r="AD43" s="2" t="str">
        <f t="shared" si="11"/>
        <v/>
      </c>
      <c r="AE43" s="2" t="str">
        <f t="shared" si="11"/>
        <v/>
      </c>
      <c r="AF43" s="2" t="str">
        <f t="shared" si="11"/>
        <v/>
      </c>
      <c r="AG43" s="2" t="str">
        <f t="shared" si="11"/>
        <v/>
      </c>
      <c r="AH43" s="2" t="str">
        <f t="shared" si="11"/>
        <v/>
      </c>
      <c r="AI43" s="2" t="str">
        <f t="shared" si="11"/>
        <v/>
      </c>
      <c r="AJ43" s="2" t="str">
        <f t="shared" si="11"/>
        <v/>
      </c>
      <c r="AK43" s="2" t="str">
        <f t="shared" ref="AK43:BP43" si="12">IFERROR(IF(OR(AK42=0,AK42=13,AK42= 10), "",CHAR(AK42)), "")</f>
        <v/>
      </c>
      <c r="AL43" s="2" t="str">
        <f t="shared" si="12"/>
        <v/>
      </c>
      <c r="AM43" s="2" t="str">
        <f t="shared" si="12"/>
        <v/>
      </c>
      <c r="AN43" s="2" t="str">
        <f t="shared" si="12"/>
        <v/>
      </c>
      <c r="AO43" s="2" t="str">
        <f t="shared" si="12"/>
        <v/>
      </c>
      <c r="AP43" s="2" t="str">
        <f t="shared" si="12"/>
        <v/>
      </c>
      <c r="AQ43" s="2" t="str">
        <f t="shared" si="12"/>
        <v/>
      </c>
      <c r="AR43" s="2" t="str">
        <f t="shared" si="12"/>
        <v/>
      </c>
      <c r="AS43" s="2" t="str">
        <f t="shared" si="12"/>
        <v/>
      </c>
      <c r="AT43" s="2" t="str">
        <f t="shared" si="12"/>
        <v/>
      </c>
      <c r="AU43" s="2" t="str">
        <f t="shared" si="12"/>
        <v/>
      </c>
      <c r="AV43" s="2" t="str">
        <f t="shared" si="12"/>
        <v/>
      </c>
      <c r="AW43" s="2" t="str">
        <f t="shared" si="12"/>
        <v/>
      </c>
      <c r="AX43" s="2" t="str">
        <f t="shared" si="12"/>
        <v/>
      </c>
      <c r="AY43" s="2" t="str">
        <f t="shared" si="12"/>
        <v/>
      </c>
      <c r="AZ43" s="2" t="str">
        <f t="shared" si="12"/>
        <v/>
      </c>
      <c r="BA43" s="2" t="str">
        <f t="shared" si="12"/>
        <v/>
      </c>
      <c r="BB43" s="2" t="str">
        <f t="shared" si="12"/>
        <v/>
      </c>
      <c r="BC43" s="2" t="str">
        <f t="shared" si="12"/>
        <v/>
      </c>
      <c r="BD43" s="2" t="str">
        <f t="shared" si="12"/>
        <v/>
      </c>
      <c r="BE43" s="2" t="str">
        <f t="shared" si="12"/>
        <v/>
      </c>
      <c r="BF43" s="2" t="str">
        <f t="shared" si="12"/>
        <v/>
      </c>
      <c r="BG43" s="2" t="str">
        <f t="shared" si="12"/>
        <v/>
      </c>
      <c r="BH43" s="2" t="str">
        <f t="shared" si="12"/>
        <v/>
      </c>
      <c r="BI43" s="2" t="str">
        <f t="shared" si="12"/>
        <v/>
      </c>
      <c r="BJ43" s="2" t="str">
        <f t="shared" si="12"/>
        <v/>
      </c>
      <c r="BK43" s="2" t="str">
        <f t="shared" si="12"/>
        <v/>
      </c>
      <c r="BL43" s="2" t="str">
        <f t="shared" si="12"/>
        <v/>
      </c>
      <c r="BM43" s="2" t="str">
        <f t="shared" si="12"/>
        <v/>
      </c>
      <c r="BN43" s="2" t="str">
        <f t="shared" si="12"/>
        <v/>
      </c>
      <c r="BO43" s="2" t="str">
        <f t="shared" si="12"/>
        <v/>
      </c>
      <c r="BP43" s="2" t="str">
        <f t="shared" si="12"/>
        <v/>
      </c>
      <c r="BQ43" s="2" t="str">
        <f t="shared" ref="BQ43:CH43" si="13">IFERROR(IF(OR(BQ42=0,BQ42=13,BQ42= 10), "",CHAR(BQ42)), "")</f>
        <v/>
      </c>
      <c r="BR43" s="2" t="str">
        <f t="shared" si="13"/>
        <v/>
      </c>
      <c r="BS43" s="2" t="str">
        <f t="shared" si="13"/>
        <v/>
      </c>
      <c r="BT43" s="2" t="str">
        <f t="shared" si="13"/>
        <v/>
      </c>
      <c r="BU43" s="2" t="str">
        <f t="shared" si="13"/>
        <v/>
      </c>
      <c r="BV43" s="2" t="str">
        <f t="shared" si="13"/>
        <v/>
      </c>
      <c r="BW43" s="2" t="str">
        <f t="shared" si="13"/>
        <v/>
      </c>
      <c r="BX43" s="2" t="str">
        <f t="shared" si="13"/>
        <v/>
      </c>
      <c r="BY43" s="2" t="str">
        <f t="shared" si="13"/>
        <v/>
      </c>
      <c r="BZ43" s="2" t="str">
        <f t="shared" si="13"/>
        <v/>
      </c>
      <c r="CA43" s="2" t="str">
        <f t="shared" si="13"/>
        <v/>
      </c>
      <c r="CB43" s="2" t="str">
        <f t="shared" si="13"/>
        <v/>
      </c>
      <c r="CC43" s="2" t="str">
        <f t="shared" si="13"/>
        <v/>
      </c>
      <c r="CD43" s="2" t="str">
        <f t="shared" si="13"/>
        <v/>
      </c>
      <c r="CE43" s="2" t="str">
        <f t="shared" si="13"/>
        <v/>
      </c>
      <c r="CF43" s="2" t="str">
        <f t="shared" si="13"/>
        <v/>
      </c>
      <c r="CG43" s="2" t="str">
        <f t="shared" si="13"/>
        <v/>
      </c>
      <c r="CH43" s="2" t="str">
        <f t="shared" si="13"/>
        <v/>
      </c>
    </row>
    <row r="44" spans="1:86" x14ac:dyDescent="0.25">
      <c r="A44" s="7">
        <v>9999</v>
      </c>
      <c r="B44" s="7">
        <v>0</v>
      </c>
      <c r="C44" s="7">
        <v>0</v>
      </c>
      <c r="D44" s="7">
        <v>0</v>
      </c>
      <c r="E44" s="28" t="str">
        <f>CONCATENATE(E43,F43,G43,H43,I43,J43,K43,L43,M43,N43,O43,P43,Q43)</f>
        <v>X0951</v>
      </c>
      <c r="F44" s="26"/>
    </row>
    <row r="45" spans="1:86" x14ac:dyDescent="0.25">
      <c r="A45" s="7">
        <v>-0.56835290000000005</v>
      </c>
      <c r="B45" s="7">
        <v>0</v>
      </c>
      <c r="C45" s="7">
        <v>0</v>
      </c>
      <c r="D45" s="7">
        <v>0</v>
      </c>
    </row>
    <row r="46" spans="1:86" x14ac:dyDescent="0.25">
      <c r="A46" s="7">
        <v>-0.36502459999999998</v>
      </c>
      <c r="B46" s="7">
        <v>0</v>
      </c>
      <c r="C46" s="7">
        <v>0</v>
      </c>
      <c r="D46" s="7">
        <v>0</v>
      </c>
    </row>
    <row r="47" spans="1:86" x14ac:dyDescent="0.25">
      <c r="A47" s="7">
        <v>-0.20332839999999999</v>
      </c>
      <c r="B47" s="7">
        <v>0</v>
      </c>
      <c r="C47" s="7">
        <v>0</v>
      </c>
      <c r="D47" s="7">
        <v>0</v>
      </c>
    </row>
    <row r="48" spans="1:86" x14ac:dyDescent="0.25">
      <c r="A48" s="7">
        <v>0.162801</v>
      </c>
      <c r="B48" s="7">
        <v>0</v>
      </c>
      <c r="C48" s="7">
        <v>0</v>
      </c>
      <c r="D48" s="7">
        <v>0</v>
      </c>
      <c r="F48" s="8" t="s">
        <v>18</v>
      </c>
      <c r="G48" s="8"/>
      <c r="H48" s="8"/>
      <c r="I48" s="8"/>
    </row>
    <row r="49" spans="1:86" x14ac:dyDescent="0.25">
      <c r="A49" s="7">
        <v>0</v>
      </c>
      <c r="B49" s="7">
        <v>0</v>
      </c>
      <c r="C49" s="7">
        <v>0</v>
      </c>
      <c r="D49" s="7">
        <v>0</v>
      </c>
    </row>
    <row r="50" spans="1:86" s="5" customFormat="1" x14ac:dyDescent="0.25"/>
    <row r="51" spans="1:86" ht="18.75" x14ac:dyDescent="0.25">
      <c r="A51" s="23" t="s">
        <v>14</v>
      </c>
      <c r="B51" s="23"/>
      <c r="C51" s="23"/>
      <c r="D51" s="23"/>
    </row>
    <row r="52" spans="1:86" x14ac:dyDescent="0.25">
      <c r="A52" s="7">
        <f t="array" ref="A52:A59">[1]!'Program:CLNRM1_MULTI.Data_LeakTest[0],L8,C1'</f>
        <v>295</v>
      </c>
      <c r="E52" s="2">
        <f t="array" ref="E52:CH52">[1]!'Program:CLNRM1_MULTI.Data_PartType.String.DATA[0],L82,C82'</f>
        <v>88</v>
      </c>
      <c r="F52" s="2">
        <v>49</v>
      </c>
      <c r="G52" s="2">
        <v>52</v>
      </c>
      <c r="H52" s="2">
        <v>51</v>
      </c>
      <c r="I52" s="2">
        <v>56</v>
      </c>
      <c r="J52" s="2">
        <v>82</v>
      </c>
      <c r="K52" s="2">
        <v>70</v>
      </c>
      <c r="L52" s="2">
        <v>50</v>
      </c>
      <c r="M52" s="2">
        <v>76</v>
      </c>
      <c r="N52" s="2">
        <v>45</v>
      </c>
      <c r="O52" s="2">
        <v>48</v>
      </c>
      <c r="P52" s="2">
        <v>49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2">
        <v>0</v>
      </c>
      <c r="CC52" s="2">
        <v>0</v>
      </c>
      <c r="CD52" s="2">
        <v>0</v>
      </c>
      <c r="CE52" s="2">
        <v>0</v>
      </c>
      <c r="CF52" s="2">
        <v>0</v>
      </c>
      <c r="CG52" s="2">
        <v>0</v>
      </c>
      <c r="CH52" s="2">
        <v>0</v>
      </c>
    </row>
    <row r="53" spans="1:86" x14ac:dyDescent="0.25">
      <c r="A53" s="7">
        <v>6.842821E-40</v>
      </c>
      <c r="E53" s="2" t="str">
        <f t="shared" ref="E53:AJ53" si="14">IFERROR(IF(OR(E52=0,E52=13,E52= 10), "",CHAR(E52)), "")</f>
        <v>X</v>
      </c>
      <c r="F53" s="2" t="str">
        <f t="shared" si="14"/>
        <v>1</v>
      </c>
      <c r="G53" s="2" t="str">
        <f t="shared" si="14"/>
        <v>4</v>
      </c>
      <c r="H53" s="2" t="str">
        <f t="shared" si="14"/>
        <v>3</v>
      </c>
      <c r="I53" s="2" t="str">
        <f t="shared" si="14"/>
        <v>8</v>
      </c>
      <c r="J53" s="2" t="str">
        <f t="shared" si="14"/>
        <v>R</v>
      </c>
      <c r="K53" s="2" t="str">
        <f t="shared" si="14"/>
        <v>F</v>
      </c>
      <c r="L53" s="2" t="str">
        <f t="shared" si="14"/>
        <v>2</v>
      </c>
      <c r="M53" s="2" t="str">
        <f t="shared" si="14"/>
        <v>L</v>
      </c>
      <c r="N53" s="2" t="str">
        <f t="shared" si="14"/>
        <v>-</v>
      </c>
      <c r="O53" s="2" t="str">
        <f t="shared" si="14"/>
        <v>0</v>
      </c>
      <c r="P53" s="2" t="str">
        <f t="shared" si="14"/>
        <v>1</v>
      </c>
      <c r="Q53" s="2" t="str">
        <f t="shared" si="14"/>
        <v/>
      </c>
      <c r="R53" s="2" t="str">
        <f t="shared" si="14"/>
        <v/>
      </c>
      <c r="S53" s="2" t="str">
        <f t="shared" si="14"/>
        <v/>
      </c>
      <c r="T53" s="2" t="str">
        <f t="shared" si="14"/>
        <v/>
      </c>
      <c r="U53" s="2" t="str">
        <f t="shared" si="14"/>
        <v/>
      </c>
      <c r="V53" s="2" t="str">
        <f t="shared" si="14"/>
        <v/>
      </c>
      <c r="W53" s="2" t="str">
        <f t="shared" si="14"/>
        <v/>
      </c>
      <c r="X53" s="2" t="str">
        <f t="shared" si="14"/>
        <v/>
      </c>
      <c r="Y53" s="2" t="str">
        <f t="shared" si="14"/>
        <v/>
      </c>
      <c r="Z53" s="2" t="str">
        <f t="shared" si="14"/>
        <v/>
      </c>
      <c r="AA53" s="2" t="str">
        <f t="shared" si="14"/>
        <v/>
      </c>
      <c r="AB53" s="2" t="str">
        <f t="shared" si="14"/>
        <v/>
      </c>
      <c r="AC53" s="2" t="str">
        <f t="shared" si="14"/>
        <v/>
      </c>
      <c r="AD53" s="2" t="str">
        <f t="shared" si="14"/>
        <v/>
      </c>
      <c r="AE53" s="2" t="str">
        <f t="shared" si="14"/>
        <v/>
      </c>
      <c r="AF53" s="2" t="str">
        <f t="shared" si="14"/>
        <v/>
      </c>
      <c r="AG53" s="2" t="str">
        <f t="shared" si="14"/>
        <v/>
      </c>
      <c r="AH53" s="2" t="str">
        <f t="shared" si="14"/>
        <v/>
      </c>
      <c r="AI53" s="2" t="str">
        <f t="shared" si="14"/>
        <v/>
      </c>
      <c r="AJ53" s="2" t="str">
        <f t="shared" si="14"/>
        <v/>
      </c>
      <c r="AK53" s="2" t="str">
        <f t="shared" ref="AK53:BP53" si="15">IFERROR(IF(OR(AK52=0,AK52=13,AK52= 10), "",CHAR(AK52)), "")</f>
        <v/>
      </c>
      <c r="AL53" s="2" t="str">
        <f t="shared" si="15"/>
        <v/>
      </c>
      <c r="AM53" s="2" t="str">
        <f t="shared" si="15"/>
        <v/>
      </c>
      <c r="AN53" s="2" t="str">
        <f t="shared" si="15"/>
        <v/>
      </c>
      <c r="AO53" s="2" t="str">
        <f t="shared" si="15"/>
        <v/>
      </c>
      <c r="AP53" s="2" t="str">
        <f t="shared" si="15"/>
        <v/>
      </c>
      <c r="AQ53" s="2" t="str">
        <f t="shared" si="15"/>
        <v/>
      </c>
      <c r="AR53" s="2" t="str">
        <f t="shared" si="15"/>
        <v/>
      </c>
      <c r="AS53" s="2" t="str">
        <f t="shared" si="15"/>
        <v/>
      </c>
      <c r="AT53" s="2" t="str">
        <f t="shared" si="15"/>
        <v/>
      </c>
      <c r="AU53" s="2" t="str">
        <f t="shared" si="15"/>
        <v/>
      </c>
      <c r="AV53" s="2" t="str">
        <f t="shared" si="15"/>
        <v/>
      </c>
      <c r="AW53" s="2" t="str">
        <f t="shared" si="15"/>
        <v/>
      </c>
      <c r="AX53" s="2" t="str">
        <f t="shared" si="15"/>
        <v/>
      </c>
      <c r="AY53" s="2" t="str">
        <f t="shared" si="15"/>
        <v/>
      </c>
      <c r="AZ53" s="2" t="str">
        <f t="shared" si="15"/>
        <v/>
      </c>
      <c r="BA53" s="2" t="str">
        <f t="shared" si="15"/>
        <v/>
      </c>
      <c r="BB53" s="2" t="str">
        <f t="shared" si="15"/>
        <v/>
      </c>
      <c r="BC53" s="2" t="str">
        <f t="shared" si="15"/>
        <v/>
      </c>
      <c r="BD53" s="2" t="str">
        <f t="shared" si="15"/>
        <v/>
      </c>
      <c r="BE53" s="2" t="str">
        <f t="shared" si="15"/>
        <v/>
      </c>
      <c r="BF53" s="2" t="str">
        <f t="shared" si="15"/>
        <v/>
      </c>
      <c r="BG53" s="2" t="str">
        <f t="shared" si="15"/>
        <v/>
      </c>
      <c r="BH53" s="2" t="str">
        <f t="shared" si="15"/>
        <v/>
      </c>
      <c r="BI53" s="2" t="str">
        <f t="shared" si="15"/>
        <v/>
      </c>
      <c r="BJ53" s="2" t="str">
        <f t="shared" si="15"/>
        <v/>
      </c>
      <c r="BK53" s="2" t="str">
        <f t="shared" si="15"/>
        <v/>
      </c>
      <c r="BL53" s="2" t="str">
        <f t="shared" si="15"/>
        <v/>
      </c>
      <c r="BM53" s="2" t="str">
        <f t="shared" si="15"/>
        <v/>
      </c>
      <c r="BN53" s="2" t="str">
        <f t="shared" si="15"/>
        <v/>
      </c>
      <c r="BO53" s="2" t="str">
        <f t="shared" si="15"/>
        <v/>
      </c>
      <c r="BP53" s="2" t="str">
        <f t="shared" si="15"/>
        <v/>
      </c>
      <c r="BQ53" s="2" t="str">
        <f t="shared" ref="BQ53:CH53" si="16">IFERROR(IF(OR(BQ52=0,BQ52=13,BQ52= 10), "",CHAR(BQ52)), "")</f>
        <v/>
      </c>
      <c r="BR53" s="2" t="str">
        <f t="shared" si="16"/>
        <v/>
      </c>
      <c r="BS53" s="2" t="str">
        <f t="shared" si="16"/>
        <v/>
      </c>
      <c r="BT53" s="2" t="str">
        <f t="shared" si="16"/>
        <v/>
      </c>
      <c r="BU53" s="2" t="str">
        <f t="shared" si="16"/>
        <v/>
      </c>
      <c r="BV53" s="2" t="str">
        <f t="shared" si="16"/>
        <v/>
      </c>
      <c r="BW53" s="2" t="str">
        <f t="shared" si="16"/>
        <v/>
      </c>
      <c r="BX53" s="2" t="str">
        <f t="shared" si="16"/>
        <v/>
      </c>
      <c r="BY53" s="2" t="str">
        <f t="shared" si="16"/>
        <v/>
      </c>
      <c r="BZ53" s="2" t="str">
        <f t="shared" si="16"/>
        <v/>
      </c>
      <c r="CA53" s="2" t="str">
        <f t="shared" si="16"/>
        <v/>
      </c>
      <c r="CB53" s="2" t="str">
        <f t="shared" si="16"/>
        <v/>
      </c>
      <c r="CC53" s="2" t="str">
        <f t="shared" si="16"/>
        <v/>
      </c>
      <c r="CD53" s="2" t="str">
        <f t="shared" si="16"/>
        <v/>
      </c>
      <c r="CE53" s="2" t="str">
        <f t="shared" si="16"/>
        <v/>
      </c>
      <c r="CF53" s="2" t="str">
        <f t="shared" si="16"/>
        <v/>
      </c>
      <c r="CG53" s="2" t="str">
        <f t="shared" si="16"/>
        <v/>
      </c>
      <c r="CH53" s="2" t="str">
        <f t="shared" si="16"/>
        <v/>
      </c>
    </row>
    <row r="54" spans="1:86" x14ac:dyDescent="0.25">
      <c r="A54" s="7">
        <v>0.42899609999999999</v>
      </c>
      <c r="D54" s="6"/>
      <c r="E54" s="26" t="str">
        <f>CONCATENATE(E53,F53,G53,H53,I53,J53,K53,L53,M53,N53,O53,P53,Q53)</f>
        <v>X1438RF2L-01</v>
      </c>
      <c r="F54" s="26"/>
    </row>
    <row r="55" spans="1:86" x14ac:dyDescent="0.25">
      <c r="A55" s="7">
        <v>6.7262330000000004E-44</v>
      </c>
    </row>
    <row r="56" spans="1:86" x14ac:dyDescent="0.25">
      <c r="A56" s="7">
        <v>3.363116E-44</v>
      </c>
    </row>
    <row r="57" spans="1:86" x14ac:dyDescent="0.25">
      <c r="A57" s="7">
        <v>0</v>
      </c>
    </row>
    <row r="58" spans="1:86" x14ac:dyDescent="0.25">
      <c r="A58" s="7">
        <v>0</v>
      </c>
    </row>
    <row r="59" spans="1:86" x14ac:dyDescent="0.25">
      <c r="A59" s="7">
        <v>0</v>
      </c>
    </row>
    <row r="60" spans="1:86" s="5" customFormat="1" x14ac:dyDescent="0.25"/>
    <row r="61" spans="1:86" ht="18.75" x14ac:dyDescent="0.25">
      <c r="A61" s="23" t="s">
        <v>22</v>
      </c>
      <c r="B61" s="23"/>
      <c r="C61" s="23"/>
      <c r="D61" s="23"/>
    </row>
    <row r="62" spans="1:86" x14ac:dyDescent="0.25">
      <c r="A62" s="7">
        <f t="array" ref="A62:D69">[1]!'Program:CLNRM1_MULTI_2.Data_LeakTest[0,0],L32,C4'</f>
        <v>3</v>
      </c>
      <c r="B62" s="7">
        <v>0</v>
      </c>
      <c r="C62" s="7">
        <v>0</v>
      </c>
      <c r="D62" s="7">
        <v>0</v>
      </c>
      <c r="E62" s="2">
        <f t="array" ref="E62:CH62">[1]!'Program:CLNRM1_MULTI_2.Data_PartType_Multi2.String.DATA[0],L82,C82'</f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2">
        <v>0</v>
      </c>
      <c r="CC62" s="2">
        <v>0</v>
      </c>
      <c r="CD62" s="2">
        <v>0</v>
      </c>
      <c r="CE62" s="2">
        <v>0</v>
      </c>
      <c r="CF62" s="2">
        <v>0</v>
      </c>
      <c r="CG62" s="2">
        <v>0</v>
      </c>
      <c r="CH62" s="2">
        <v>0</v>
      </c>
    </row>
    <row r="63" spans="1:86" x14ac:dyDescent="0.25">
      <c r="A63" s="7">
        <v>-3.330435</v>
      </c>
      <c r="B63" s="7">
        <v>-4.0040990000000001</v>
      </c>
      <c r="C63" s="7">
        <v>-3.3706909999999999</v>
      </c>
      <c r="D63" s="7">
        <v>-2.987501</v>
      </c>
      <c r="E63" s="2" t="str">
        <f t="shared" ref="E63:AJ63" si="17">IFERROR(IF(OR(E62=0,E62=13,E62= 10), "",CHAR(E62)), "")</f>
        <v/>
      </c>
      <c r="F63" s="2" t="str">
        <f t="shared" si="17"/>
        <v/>
      </c>
      <c r="G63" s="2" t="str">
        <f t="shared" si="17"/>
        <v/>
      </c>
      <c r="H63" s="2" t="str">
        <f t="shared" si="17"/>
        <v/>
      </c>
      <c r="I63" s="2" t="str">
        <f t="shared" si="17"/>
        <v/>
      </c>
      <c r="J63" s="2" t="str">
        <f t="shared" si="17"/>
        <v/>
      </c>
      <c r="K63" s="2" t="str">
        <f t="shared" si="17"/>
        <v/>
      </c>
      <c r="L63" s="2" t="str">
        <f t="shared" si="17"/>
        <v/>
      </c>
      <c r="M63" s="2" t="str">
        <f t="shared" si="17"/>
        <v/>
      </c>
      <c r="N63" s="2" t="str">
        <f t="shared" si="17"/>
        <v/>
      </c>
      <c r="O63" s="2" t="str">
        <f t="shared" si="17"/>
        <v/>
      </c>
      <c r="P63" s="2" t="str">
        <f t="shared" si="17"/>
        <v/>
      </c>
      <c r="Q63" s="2" t="str">
        <f t="shared" si="17"/>
        <v/>
      </c>
      <c r="R63" s="2" t="str">
        <f t="shared" si="17"/>
        <v/>
      </c>
      <c r="S63" s="2" t="str">
        <f t="shared" si="17"/>
        <v/>
      </c>
      <c r="T63" s="2" t="str">
        <f t="shared" si="17"/>
        <v/>
      </c>
      <c r="U63" s="2" t="str">
        <f t="shared" si="17"/>
        <v/>
      </c>
      <c r="V63" s="2" t="str">
        <f t="shared" si="17"/>
        <v/>
      </c>
      <c r="W63" s="2" t="str">
        <f t="shared" si="17"/>
        <v/>
      </c>
      <c r="X63" s="2" t="str">
        <f t="shared" si="17"/>
        <v/>
      </c>
      <c r="Y63" s="2" t="str">
        <f t="shared" si="17"/>
        <v/>
      </c>
      <c r="Z63" s="2" t="str">
        <f t="shared" si="17"/>
        <v/>
      </c>
      <c r="AA63" s="2" t="str">
        <f t="shared" si="17"/>
        <v/>
      </c>
      <c r="AB63" s="2" t="str">
        <f t="shared" si="17"/>
        <v/>
      </c>
      <c r="AC63" s="2" t="str">
        <f t="shared" si="17"/>
        <v/>
      </c>
      <c r="AD63" s="2" t="str">
        <f t="shared" si="17"/>
        <v/>
      </c>
      <c r="AE63" s="2" t="str">
        <f t="shared" si="17"/>
        <v/>
      </c>
      <c r="AF63" s="2" t="str">
        <f t="shared" si="17"/>
        <v/>
      </c>
      <c r="AG63" s="2" t="str">
        <f t="shared" si="17"/>
        <v/>
      </c>
      <c r="AH63" s="2" t="str">
        <f t="shared" si="17"/>
        <v/>
      </c>
      <c r="AI63" s="2" t="str">
        <f t="shared" si="17"/>
        <v/>
      </c>
      <c r="AJ63" s="2" t="str">
        <f t="shared" si="17"/>
        <v/>
      </c>
      <c r="AK63" s="2" t="str">
        <f t="shared" ref="AK63:BP63" si="18">IFERROR(IF(OR(AK62=0,AK62=13,AK62= 10), "",CHAR(AK62)), "")</f>
        <v/>
      </c>
      <c r="AL63" s="2" t="str">
        <f t="shared" si="18"/>
        <v/>
      </c>
      <c r="AM63" s="2" t="str">
        <f t="shared" si="18"/>
        <v/>
      </c>
      <c r="AN63" s="2" t="str">
        <f t="shared" si="18"/>
        <v/>
      </c>
      <c r="AO63" s="2" t="str">
        <f t="shared" si="18"/>
        <v/>
      </c>
      <c r="AP63" s="2" t="str">
        <f t="shared" si="18"/>
        <v/>
      </c>
      <c r="AQ63" s="2" t="str">
        <f t="shared" si="18"/>
        <v/>
      </c>
      <c r="AR63" s="2" t="str">
        <f t="shared" si="18"/>
        <v/>
      </c>
      <c r="AS63" s="2" t="str">
        <f t="shared" si="18"/>
        <v/>
      </c>
      <c r="AT63" s="2" t="str">
        <f t="shared" si="18"/>
        <v/>
      </c>
      <c r="AU63" s="2" t="str">
        <f t="shared" si="18"/>
        <v/>
      </c>
      <c r="AV63" s="2" t="str">
        <f t="shared" si="18"/>
        <v/>
      </c>
      <c r="AW63" s="2" t="str">
        <f t="shared" si="18"/>
        <v/>
      </c>
      <c r="AX63" s="2" t="str">
        <f t="shared" si="18"/>
        <v/>
      </c>
      <c r="AY63" s="2" t="str">
        <f t="shared" si="18"/>
        <v/>
      </c>
      <c r="AZ63" s="2" t="str">
        <f t="shared" si="18"/>
        <v/>
      </c>
      <c r="BA63" s="2" t="str">
        <f t="shared" si="18"/>
        <v/>
      </c>
      <c r="BB63" s="2" t="str">
        <f t="shared" si="18"/>
        <v/>
      </c>
      <c r="BC63" s="2" t="str">
        <f t="shared" si="18"/>
        <v/>
      </c>
      <c r="BD63" s="2" t="str">
        <f t="shared" si="18"/>
        <v/>
      </c>
      <c r="BE63" s="2" t="str">
        <f t="shared" si="18"/>
        <v/>
      </c>
      <c r="BF63" s="2" t="str">
        <f t="shared" si="18"/>
        <v/>
      </c>
      <c r="BG63" s="2" t="str">
        <f t="shared" si="18"/>
        <v/>
      </c>
      <c r="BH63" s="2" t="str">
        <f t="shared" si="18"/>
        <v/>
      </c>
      <c r="BI63" s="2" t="str">
        <f t="shared" si="18"/>
        <v/>
      </c>
      <c r="BJ63" s="2" t="str">
        <f t="shared" si="18"/>
        <v/>
      </c>
      <c r="BK63" s="2" t="str">
        <f t="shared" si="18"/>
        <v/>
      </c>
      <c r="BL63" s="2" t="str">
        <f t="shared" si="18"/>
        <v/>
      </c>
      <c r="BM63" s="2" t="str">
        <f t="shared" si="18"/>
        <v/>
      </c>
      <c r="BN63" s="2" t="str">
        <f t="shared" si="18"/>
        <v/>
      </c>
      <c r="BO63" s="2" t="str">
        <f t="shared" si="18"/>
        <v/>
      </c>
      <c r="BP63" s="2" t="str">
        <f t="shared" si="18"/>
        <v/>
      </c>
      <c r="BQ63" s="2" t="str">
        <f t="shared" ref="BQ63:CH63" si="19">IFERROR(IF(OR(BQ62=0,BQ62=13,BQ62= 10), "",CHAR(BQ62)), "")</f>
        <v/>
      </c>
      <c r="BR63" s="2" t="str">
        <f t="shared" si="19"/>
        <v/>
      </c>
      <c r="BS63" s="2" t="str">
        <f t="shared" si="19"/>
        <v/>
      </c>
      <c r="BT63" s="2" t="str">
        <f t="shared" si="19"/>
        <v/>
      </c>
      <c r="BU63" s="2" t="str">
        <f t="shared" si="19"/>
        <v/>
      </c>
      <c r="BV63" s="2" t="str">
        <f t="shared" si="19"/>
        <v/>
      </c>
      <c r="BW63" s="2" t="str">
        <f t="shared" si="19"/>
        <v/>
      </c>
      <c r="BX63" s="2" t="str">
        <f t="shared" si="19"/>
        <v/>
      </c>
      <c r="BY63" s="2" t="str">
        <f t="shared" si="19"/>
        <v/>
      </c>
      <c r="BZ63" s="2" t="str">
        <f t="shared" si="19"/>
        <v/>
      </c>
      <c r="CA63" s="2" t="str">
        <f t="shared" si="19"/>
        <v/>
      </c>
      <c r="CB63" s="2" t="str">
        <f t="shared" si="19"/>
        <v/>
      </c>
      <c r="CC63" s="2" t="str">
        <f t="shared" si="19"/>
        <v/>
      </c>
      <c r="CD63" s="2" t="str">
        <f t="shared" si="19"/>
        <v/>
      </c>
      <c r="CE63" s="2" t="str">
        <f t="shared" si="19"/>
        <v/>
      </c>
      <c r="CF63" s="2" t="str">
        <f t="shared" si="19"/>
        <v/>
      </c>
      <c r="CG63" s="2" t="str">
        <f t="shared" si="19"/>
        <v/>
      </c>
      <c r="CH63" s="2" t="str">
        <f t="shared" si="19"/>
        <v/>
      </c>
    </row>
    <row r="64" spans="1:86" x14ac:dyDescent="0.25">
      <c r="A64" s="7">
        <v>0.95757479999999995</v>
      </c>
      <c r="B64" s="7">
        <v>1.2614609999999999</v>
      </c>
      <c r="C64" s="7">
        <v>1.086293</v>
      </c>
      <c r="D64" s="7">
        <v>1.006173</v>
      </c>
      <c r="E64" s="26" t="str">
        <f>CONCATENATE(E63,F63,G63,H63,I63,J63,K63,L63,M63,N63,O63,P63,Q63)</f>
        <v/>
      </c>
      <c r="F64" s="26"/>
    </row>
    <row r="65" spans="1:86" x14ac:dyDescent="0.25">
      <c r="A65" s="7">
        <v>0</v>
      </c>
      <c r="B65" s="7">
        <v>0</v>
      </c>
      <c r="C65" s="7">
        <v>0</v>
      </c>
      <c r="D65" s="7">
        <v>0</v>
      </c>
    </row>
    <row r="66" spans="1:86" x14ac:dyDescent="0.25">
      <c r="A66" s="7">
        <v>-0.27993269999999998</v>
      </c>
      <c r="B66" s="7">
        <v>0</v>
      </c>
      <c r="C66" s="7">
        <v>0</v>
      </c>
      <c r="D66" s="7">
        <v>0</v>
      </c>
    </row>
    <row r="67" spans="1:86" x14ac:dyDescent="0.25">
      <c r="A67" s="7">
        <v>-5.1172820000000001E-2</v>
      </c>
      <c r="B67" s="7">
        <v>0</v>
      </c>
      <c r="C67" s="7">
        <v>0</v>
      </c>
      <c r="D67" s="7">
        <v>0</v>
      </c>
    </row>
    <row r="68" spans="1:86" x14ac:dyDescent="0.25">
      <c r="A68" s="7">
        <v>0</v>
      </c>
      <c r="B68" s="7">
        <v>0</v>
      </c>
      <c r="C68" s="7">
        <v>0</v>
      </c>
      <c r="D68" s="7">
        <v>0</v>
      </c>
    </row>
    <row r="69" spans="1:86" x14ac:dyDescent="0.25">
      <c r="A69" s="7">
        <v>0</v>
      </c>
      <c r="B69" s="7">
        <v>0</v>
      </c>
      <c r="C69" s="7">
        <v>0</v>
      </c>
      <c r="D69" s="7">
        <v>0</v>
      </c>
    </row>
    <row r="70" spans="1:86" s="5" customFormat="1" x14ac:dyDescent="0.25"/>
    <row r="71" spans="1:86" ht="18.75" x14ac:dyDescent="0.25">
      <c r="A71" s="23" t="s">
        <v>23</v>
      </c>
      <c r="B71" s="23"/>
      <c r="C71" s="23"/>
      <c r="D71" s="23"/>
    </row>
    <row r="72" spans="1:86" x14ac:dyDescent="0.25">
      <c r="A72" s="7">
        <f t="array" ref="A72:D79">[1]!'Program:CLNRM6_FCB.Data_LeakTest[0,0],L32,C4'</f>
        <v>29</v>
      </c>
      <c r="B72" s="7">
        <v>0</v>
      </c>
      <c r="C72" s="7">
        <v>0</v>
      </c>
      <c r="D72" s="7">
        <v>0</v>
      </c>
      <c r="E72" s="2">
        <f t="array" ref="E72:CH72">[1]!'Program:CLNRM6_FCB.Data_PartType.String.DATA[0],L82,C82'</f>
        <v>88</v>
      </c>
      <c r="F72" s="2">
        <v>49</v>
      </c>
      <c r="G72" s="2">
        <v>52</v>
      </c>
      <c r="H72" s="2">
        <v>51</v>
      </c>
      <c r="I72" s="2">
        <v>56</v>
      </c>
      <c r="J72" s="2">
        <v>70</v>
      </c>
      <c r="K72" s="2">
        <v>67</v>
      </c>
      <c r="L72" s="2">
        <v>66</v>
      </c>
      <c r="M72" s="2">
        <v>45</v>
      </c>
      <c r="N72" s="2">
        <v>52</v>
      </c>
      <c r="O72" s="2">
        <v>86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2">
        <v>0</v>
      </c>
      <c r="CC72" s="2">
        <v>0</v>
      </c>
      <c r="CD72" s="2">
        <v>0</v>
      </c>
      <c r="CE72" s="2">
        <v>0</v>
      </c>
      <c r="CF72" s="2">
        <v>0</v>
      </c>
      <c r="CG72" s="2">
        <v>0</v>
      </c>
      <c r="CH72" s="2">
        <v>0</v>
      </c>
    </row>
    <row r="73" spans="1:86" x14ac:dyDescent="0.25">
      <c r="A73" s="7">
        <v>-1.2488220000000001</v>
      </c>
      <c r="B73" s="7">
        <v>-1.162485</v>
      </c>
      <c r="C73" s="7">
        <v>0</v>
      </c>
      <c r="D73" s="7">
        <v>0</v>
      </c>
      <c r="E73" s="2" t="str">
        <f t="shared" ref="E73:AJ73" si="20">IFERROR(IF(OR(E72=0,E72=13,E72= 10), "",CHAR(E72)), "")</f>
        <v>X</v>
      </c>
      <c r="F73" s="2" t="str">
        <f t="shared" si="20"/>
        <v>1</v>
      </c>
      <c r="G73" s="2" t="str">
        <f t="shared" si="20"/>
        <v>4</v>
      </c>
      <c r="H73" s="2" t="str">
        <f t="shared" si="20"/>
        <v>3</v>
      </c>
      <c r="I73" s="2" t="str">
        <f t="shared" si="20"/>
        <v>8</v>
      </c>
      <c r="J73" s="2" t="str">
        <f t="shared" si="20"/>
        <v>F</v>
      </c>
      <c r="K73" s="2" t="str">
        <f t="shared" si="20"/>
        <v>C</v>
      </c>
      <c r="L73" s="2" t="str">
        <f t="shared" si="20"/>
        <v>B</v>
      </c>
      <c r="M73" s="2" t="str">
        <f t="shared" si="20"/>
        <v>-</v>
      </c>
      <c r="N73" s="2" t="str">
        <f t="shared" si="20"/>
        <v>4</v>
      </c>
      <c r="O73" s="2" t="str">
        <f t="shared" si="20"/>
        <v>V</v>
      </c>
      <c r="P73" s="2" t="str">
        <f t="shared" si="20"/>
        <v/>
      </c>
      <c r="Q73" s="2" t="str">
        <f t="shared" si="20"/>
        <v/>
      </c>
      <c r="R73" s="2" t="str">
        <f t="shared" si="20"/>
        <v/>
      </c>
      <c r="S73" s="2" t="str">
        <f t="shared" si="20"/>
        <v/>
      </c>
      <c r="T73" s="2" t="str">
        <f t="shared" si="20"/>
        <v/>
      </c>
      <c r="U73" s="2" t="str">
        <f t="shared" si="20"/>
        <v/>
      </c>
      <c r="V73" s="2" t="str">
        <f t="shared" si="20"/>
        <v/>
      </c>
      <c r="W73" s="2" t="str">
        <f t="shared" si="20"/>
        <v/>
      </c>
      <c r="X73" s="2" t="str">
        <f t="shared" si="20"/>
        <v/>
      </c>
      <c r="Y73" s="2" t="str">
        <f t="shared" si="20"/>
        <v/>
      </c>
      <c r="Z73" s="2" t="str">
        <f t="shared" si="20"/>
        <v/>
      </c>
      <c r="AA73" s="2" t="str">
        <f t="shared" si="20"/>
        <v/>
      </c>
      <c r="AB73" s="2" t="str">
        <f t="shared" si="20"/>
        <v/>
      </c>
      <c r="AC73" s="2" t="str">
        <f t="shared" si="20"/>
        <v/>
      </c>
      <c r="AD73" s="2" t="str">
        <f t="shared" si="20"/>
        <v/>
      </c>
      <c r="AE73" s="2" t="str">
        <f t="shared" si="20"/>
        <v/>
      </c>
      <c r="AF73" s="2" t="str">
        <f t="shared" si="20"/>
        <v/>
      </c>
      <c r="AG73" s="2" t="str">
        <f t="shared" si="20"/>
        <v/>
      </c>
      <c r="AH73" s="2" t="str">
        <f t="shared" si="20"/>
        <v/>
      </c>
      <c r="AI73" s="2" t="str">
        <f t="shared" si="20"/>
        <v/>
      </c>
      <c r="AJ73" s="2" t="str">
        <f t="shared" si="20"/>
        <v/>
      </c>
      <c r="AK73" s="2" t="str">
        <f t="shared" ref="AK73:BP73" si="21">IFERROR(IF(OR(AK72=0,AK72=13,AK72= 10), "",CHAR(AK72)), "")</f>
        <v/>
      </c>
      <c r="AL73" s="2" t="str">
        <f t="shared" si="21"/>
        <v/>
      </c>
      <c r="AM73" s="2" t="str">
        <f t="shared" si="21"/>
        <v/>
      </c>
      <c r="AN73" s="2" t="str">
        <f t="shared" si="21"/>
        <v/>
      </c>
      <c r="AO73" s="2" t="str">
        <f t="shared" si="21"/>
        <v/>
      </c>
      <c r="AP73" s="2" t="str">
        <f t="shared" si="21"/>
        <v/>
      </c>
      <c r="AQ73" s="2" t="str">
        <f t="shared" si="21"/>
        <v/>
      </c>
      <c r="AR73" s="2" t="str">
        <f t="shared" si="21"/>
        <v/>
      </c>
      <c r="AS73" s="2" t="str">
        <f t="shared" si="21"/>
        <v/>
      </c>
      <c r="AT73" s="2" t="str">
        <f t="shared" si="21"/>
        <v/>
      </c>
      <c r="AU73" s="2" t="str">
        <f t="shared" si="21"/>
        <v/>
      </c>
      <c r="AV73" s="2" t="str">
        <f t="shared" si="21"/>
        <v/>
      </c>
      <c r="AW73" s="2" t="str">
        <f t="shared" si="21"/>
        <v/>
      </c>
      <c r="AX73" s="2" t="str">
        <f t="shared" si="21"/>
        <v/>
      </c>
      <c r="AY73" s="2" t="str">
        <f t="shared" si="21"/>
        <v/>
      </c>
      <c r="AZ73" s="2" t="str">
        <f t="shared" si="21"/>
        <v/>
      </c>
      <c r="BA73" s="2" t="str">
        <f t="shared" si="21"/>
        <v/>
      </c>
      <c r="BB73" s="2" t="str">
        <f t="shared" si="21"/>
        <v/>
      </c>
      <c r="BC73" s="2" t="str">
        <f t="shared" si="21"/>
        <v/>
      </c>
      <c r="BD73" s="2" t="str">
        <f t="shared" si="21"/>
        <v/>
      </c>
      <c r="BE73" s="2" t="str">
        <f t="shared" si="21"/>
        <v/>
      </c>
      <c r="BF73" s="2" t="str">
        <f t="shared" si="21"/>
        <v/>
      </c>
      <c r="BG73" s="2" t="str">
        <f t="shared" si="21"/>
        <v/>
      </c>
      <c r="BH73" s="2" t="str">
        <f t="shared" si="21"/>
        <v/>
      </c>
      <c r="BI73" s="2" t="str">
        <f t="shared" si="21"/>
        <v/>
      </c>
      <c r="BJ73" s="2" t="str">
        <f t="shared" si="21"/>
        <v/>
      </c>
      <c r="BK73" s="2" t="str">
        <f t="shared" si="21"/>
        <v/>
      </c>
      <c r="BL73" s="2" t="str">
        <f t="shared" si="21"/>
        <v/>
      </c>
      <c r="BM73" s="2" t="str">
        <f t="shared" si="21"/>
        <v/>
      </c>
      <c r="BN73" s="2" t="str">
        <f t="shared" si="21"/>
        <v/>
      </c>
      <c r="BO73" s="2" t="str">
        <f t="shared" si="21"/>
        <v/>
      </c>
      <c r="BP73" s="2" t="str">
        <f t="shared" si="21"/>
        <v/>
      </c>
      <c r="BQ73" s="2" t="str">
        <f t="shared" ref="BQ73:CH73" si="22">IFERROR(IF(OR(BQ72=0,BQ72=13,BQ72= 10), "",CHAR(BQ72)), "")</f>
        <v/>
      </c>
      <c r="BR73" s="2" t="str">
        <f t="shared" si="22"/>
        <v/>
      </c>
      <c r="BS73" s="2" t="str">
        <f t="shared" si="22"/>
        <v/>
      </c>
      <c r="BT73" s="2" t="str">
        <f t="shared" si="22"/>
        <v/>
      </c>
      <c r="BU73" s="2" t="str">
        <f t="shared" si="22"/>
        <v/>
      </c>
      <c r="BV73" s="2" t="str">
        <f t="shared" si="22"/>
        <v/>
      </c>
      <c r="BW73" s="2" t="str">
        <f t="shared" si="22"/>
        <v/>
      </c>
      <c r="BX73" s="2" t="str">
        <f t="shared" si="22"/>
        <v/>
      </c>
      <c r="BY73" s="2" t="str">
        <f t="shared" si="22"/>
        <v/>
      </c>
      <c r="BZ73" s="2" t="str">
        <f t="shared" si="22"/>
        <v/>
      </c>
      <c r="CA73" s="2" t="str">
        <f t="shared" si="22"/>
        <v/>
      </c>
      <c r="CB73" s="2" t="str">
        <f t="shared" si="22"/>
        <v/>
      </c>
      <c r="CC73" s="2" t="str">
        <f t="shared" si="22"/>
        <v/>
      </c>
      <c r="CD73" s="2" t="str">
        <f t="shared" si="22"/>
        <v/>
      </c>
      <c r="CE73" s="2" t="str">
        <f t="shared" si="22"/>
        <v/>
      </c>
      <c r="CF73" s="2" t="str">
        <f t="shared" si="22"/>
        <v/>
      </c>
      <c r="CG73" s="2" t="str">
        <f t="shared" si="22"/>
        <v/>
      </c>
      <c r="CH73" s="2" t="str">
        <f t="shared" si="22"/>
        <v/>
      </c>
    </row>
    <row r="74" spans="1:86" x14ac:dyDescent="0.25">
      <c r="A74" s="7">
        <v>2.6101030000000001</v>
      </c>
      <c r="B74" s="7">
        <v>2.1488809999999998</v>
      </c>
      <c r="C74" s="7">
        <v>0</v>
      </c>
      <c r="D74" s="7">
        <v>0</v>
      </c>
      <c r="E74" s="26" t="str">
        <f>CONCATENATE(E73,F73,G73,H73,I73,J73,K73,L73,M73,N73,O73,P73,Q73)</f>
        <v>X1438FCB-4V</v>
      </c>
      <c r="F74" s="26"/>
    </row>
    <row r="75" spans="1:86" x14ac:dyDescent="0.25">
      <c r="A75" s="7">
        <v>-1.5281260000000001</v>
      </c>
      <c r="B75" s="7">
        <v>-1.5612509999999999</v>
      </c>
      <c r="C75" s="7">
        <v>5</v>
      </c>
      <c r="D75" s="7">
        <v>6</v>
      </c>
    </row>
    <row r="76" spans="1:86" x14ac:dyDescent="0.25">
      <c r="A76" s="7">
        <v>4.7499659999999999E-2</v>
      </c>
      <c r="B76" s="7">
        <v>-1.312542E-2</v>
      </c>
      <c r="C76" s="7">
        <v>4.5000079999999998E-2</v>
      </c>
      <c r="D76" s="7">
        <v>-3.1251909999999998E-3</v>
      </c>
      <c r="G76" s="2" t="s">
        <v>31</v>
      </c>
    </row>
    <row r="77" spans="1:86" x14ac:dyDescent="0.25">
      <c r="A77" s="7">
        <v>3.1251909999999998E-3</v>
      </c>
      <c r="B77" s="7">
        <v>8.749962E-3</v>
      </c>
      <c r="C77" s="7">
        <v>2.0000460000000001E-2</v>
      </c>
      <c r="D77" s="7">
        <v>6.875038E-3</v>
      </c>
    </row>
    <row r="78" spans="1:86" x14ac:dyDescent="0.25">
      <c r="A78" s="7">
        <v>5.0995030000000003</v>
      </c>
      <c r="B78" s="7">
        <v>1.865669</v>
      </c>
      <c r="C78" s="7">
        <v>10</v>
      </c>
      <c r="D78" s="7">
        <v>0</v>
      </c>
    </row>
    <row r="79" spans="1:86" x14ac:dyDescent="0.25">
      <c r="A79" s="7">
        <v>0</v>
      </c>
      <c r="B79" s="7">
        <v>0</v>
      </c>
      <c r="C79" s="7">
        <v>0</v>
      </c>
      <c r="D79" s="7">
        <v>0</v>
      </c>
    </row>
    <row r="80" spans="1:86" s="5" customFormat="1" x14ac:dyDescent="0.25"/>
    <row r="81" spans="1:86" ht="18.75" x14ac:dyDescent="0.25">
      <c r="A81" s="23" t="s">
        <v>27</v>
      </c>
      <c r="B81" s="23"/>
      <c r="C81" s="23"/>
      <c r="D81" s="23"/>
    </row>
    <row r="82" spans="1:86" x14ac:dyDescent="0.25">
      <c r="A82" s="7">
        <f t="array" ref="A82:D89">[1]!'Program:CLNRM9_LVA_4.Data_LeakTest_BTF[0,0],L32,C4'</f>
        <v>0</v>
      </c>
      <c r="B82" s="7">
        <v>0</v>
      </c>
      <c r="C82" s="7">
        <v>0</v>
      </c>
      <c r="D82" s="7">
        <v>0</v>
      </c>
      <c r="E82" s="22">
        <f t="array" ref="E82:CH82">[1]!'Program:CLNRM9_LVA_4.Data_PartType.String.DATA[0],L82,C82'</f>
        <v>88</v>
      </c>
      <c r="F82" s="22">
        <v>49</v>
      </c>
      <c r="G82" s="22">
        <v>53</v>
      </c>
      <c r="H82" s="22">
        <v>51</v>
      </c>
      <c r="I82" s="22">
        <v>56</v>
      </c>
      <c r="J82" s="22">
        <v>70</v>
      </c>
      <c r="K82" s="22">
        <v>45</v>
      </c>
      <c r="L82" s="22">
        <v>48</v>
      </c>
      <c r="M82" s="22">
        <v>49</v>
      </c>
      <c r="N82" s="22">
        <v>0</v>
      </c>
      <c r="O82" s="22">
        <v>0</v>
      </c>
      <c r="P82" s="22">
        <v>0</v>
      </c>
      <c r="Q82" s="22">
        <v>0</v>
      </c>
      <c r="R82" s="22">
        <v>0</v>
      </c>
      <c r="S82" s="22">
        <v>0</v>
      </c>
      <c r="T82" s="22">
        <v>0</v>
      </c>
      <c r="U82" s="22">
        <v>0</v>
      </c>
      <c r="V82" s="22">
        <v>0</v>
      </c>
      <c r="W82" s="22">
        <v>0</v>
      </c>
      <c r="X82" s="22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0</v>
      </c>
      <c r="AG82" s="22">
        <v>0</v>
      </c>
      <c r="AH82" s="22">
        <v>0</v>
      </c>
      <c r="AI82" s="22">
        <v>0</v>
      </c>
      <c r="AJ82" s="22">
        <v>0</v>
      </c>
      <c r="AK82" s="22">
        <v>0</v>
      </c>
      <c r="AL82" s="22">
        <v>0</v>
      </c>
      <c r="AM82" s="22">
        <v>0</v>
      </c>
      <c r="AN82" s="22">
        <v>0</v>
      </c>
      <c r="AO82" s="22">
        <v>0</v>
      </c>
      <c r="AP82" s="22">
        <v>0</v>
      </c>
      <c r="AQ82" s="22">
        <v>0</v>
      </c>
      <c r="AR82" s="22">
        <v>0</v>
      </c>
      <c r="AS82" s="22">
        <v>0</v>
      </c>
      <c r="AT82" s="22">
        <v>0</v>
      </c>
      <c r="AU82" s="22">
        <v>0</v>
      </c>
      <c r="AV82" s="22">
        <v>0</v>
      </c>
      <c r="AW82" s="22">
        <v>0</v>
      </c>
      <c r="AX82" s="22">
        <v>0</v>
      </c>
      <c r="AY82" s="22">
        <v>0</v>
      </c>
      <c r="AZ82" s="22">
        <v>0</v>
      </c>
      <c r="BA82" s="22">
        <v>0</v>
      </c>
      <c r="BB82" s="22">
        <v>0</v>
      </c>
      <c r="BC82" s="22">
        <v>0</v>
      </c>
      <c r="BD82" s="22">
        <v>0</v>
      </c>
      <c r="BE82" s="22">
        <v>0</v>
      </c>
      <c r="BF82" s="22">
        <v>0</v>
      </c>
      <c r="BG82" s="22">
        <v>0</v>
      </c>
      <c r="BH82" s="22">
        <v>0</v>
      </c>
      <c r="BI82" s="22">
        <v>0</v>
      </c>
      <c r="BJ82" s="22">
        <v>0</v>
      </c>
      <c r="BK82" s="22">
        <v>0</v>
      </c>
      <c r="BL82" s="22">
        <v>0</v>
      </c>
      <c r="BM82" s="22">
        <v>0</v>
      </c>
      <c r="BN82" s="22">
        <v>0</v>
      </c>
      <c r="BO82" s="22">
        <v>0</v>
      </c>
      <c r="BP82" s="22">
        <v>0</v>
      </c>
      <c r="BQ82" s="22">
        <v>0</v>
      </c>
      <c r="BR82" s="22">
        <v>0</v>
      </c>
      <c r="BS82" s="22">
        <v>0</v>
      </c>
      <c r="BT82" s="22">
        <v>0</v>
      </c>
      <c r="BU82" s="22">
        <v>0</v>
      </c>
      <c r="BV82" s="22">
        <v>0</v>
      </c>
      <c r="BW82" s="22">
        <v>0</v>
      </c>
      <c r="BX82" s="22">
        <v>0</v>
      </c>
      <c r="BY82" s="22">
        <v>0</v>
      </c>
      <c r="BZ82" s="22">
        <v>0</v>
      </c>
      <c r="CA82" s="22">
        <v>0</v>
      </c>
      <c r="CB82" s="22">
        <v>0</v>
      </c>
      <c r="CC82" s="22">
        <v>0</v>
      </c>
      <c r="CD82" s="22">
        <v>0</v>
      </c>
      <c r="CE82" s="22">
        <v>0</v>
      </c>
      <c r="CF82" s="22">
        <v>0</v>
      </c>
      <c r="CG82" s="22">
        <v>0</v>
      </c>
      <c r="CH82" s="22">
        <v>0</v>
      </c>
    </row>
    <row r="83" spans="1:86" x14ac:dyDescent="0.25">
      <c r="A83" s="7">
        <v>-0.85031509999999999</v>
      </c>
      <c r="B83" s="7">
        <v>-0.86037830000000004</v>
      </c>
      <c r="C83" s="7">
        <v>0</v>
      </c>
      <c r="D83" s="7">
        <v>0</v>
      </c>
      <c r="E83" s="22" t="str">
        <f t="shared" ref="E83:O83" si="23">IFERROR(IF(OR(E82=0,E82=13,E82= 10), "",CHAR(E82)), "")</f>
        <v>X</v>
      </c>
      <c r="F83" s="22" t="str">
        <f t="shared" si="23"/>
        <v>1</v>
      </c>
      <c r="G83" s="22" t="str">
        <f t="shared" si="23"/>
        <v>5</v>
      </c>
      <c r="H83" s="22" t="str">
        <f t="shared" si="23"/>
        <v>3</v>
      </c>
      <c r="I83" s="22" t="str">
        <f t="shared" si="23"/>
        <v>8</v>
      </c>
      <c r="J83" s="22" t="str">
        <f t="shared" si="23"/>
        <v>F</v>
      </c>
      <c r="K83" s="22" t="str">
        <f t="shared" si="23"/>
        <v>-</v>
      </c>
      <c r="L83" s="22" t="str">
        <f t="shared" si="23"/>
        <v>0</v>
      </c>
      <c r="M83" s="22" t="str">
        <f t="shared" si="23"/>
        <v>1</v>
      </c>
      <c r="N83" s="22" t="str">
        <f t="shared" si="23"/>
        <v/>
      </c>
      <c r="O83" s="22" t="str">
        <f t="shared" si="23"/>
        <v/>
      </c>
    </row>
    <row r="84" spans="1:86" x14ac:dyDescent="0.25">
      <c r="A84" s="7">
        <v>4.6425289999999997</v>
      </c>
      <c r="B84" s="7">
        <v>4.4792230000000002</v>
      </c>
      <c r="C84" s="7">
        <v>0</v>
      </c>
      <c r="D84" s="7">
        <v>0</v>
      </c>
      <c r="E84" s="27" t="str">
        <f>CONCATENATE(E83,F83,G83,H83,I83,J83,K83,L83,M83,N83,O83,P83,Q83)</f>
        <v>X1538F-01</v>
      </c>
      <c r="F84" s="27"/>
      <c r="H84" s="8" t="s">
        <v>37</v>
      </c>
    </row>
    <row r="85" spans="1:86" x14ac:dyDescent="0.25">
      <c r="A85" s="7">
        <v>0</v>
      </c>
      <c r="B85" s="7">
        <v>0</v>
      </c>
      <c r="C85" s="7">
        <v>0</v>
      </c>
      <c r="D85" s="7">
        <v>0</v>
      </c>
    </row>
    <row r="86" spans="1:86" x14ac:dyDescent="0.25">
      <c r="A86" s="7">
        <v>0</v>
      </c>
      <c r="B86" s="7">
        <v>0</v>
      </c>
      <c r="C86" s="7">
        <v>0</v>
      </c>
      <c r="D86" s="7">
        <v>0</v>
      </c>
    </row>
    <row r="87" spans="1:86" x14ac:dyDescent="0.25">
      <c r="A87" s="7">
        <v>0</v>
      </c>
      <c r="B87" s="7">
        <v>0</v>
      </c>
      <c r="C87" s="7">
        <v>0</v>
      </c>
      <c r="D87" s="7">
        <v>0</v>
      </c>
    </row>
    <row r="88" spans="1:86" x14ac:dyDescent="0.25">
      <c r="A88" s="7">
        <v>0</v>
      </c>
      <c r="B88" s="7">
        <v>0</v>
      </c>
      <c r="C88" s="7">
        <v>0</v>
      </c>
      <c r="D88" s="7">
        <v>0</v>
      </c>
    </row>
    <row r="89" spans="1:86" x14ac:dyDescent="0.25">
      <c r="A89" s="7">
        <v>0</v>
      </c>
      <c r="B89" s="7">
        <v>0</v>
      </c>
      <c r="C89" s="7">
        <v>0</v>
      </c>
      <c r="D89" s="7">
        <v>0</v>
      </c>
    </row>
    <row r="90" spans="1:86" s="5" customFormat="1" x14ac:dyDescent="0.25"/>
    <row r="91" spans="1:86" ht="18.75" x14ac:dyDescent="0.25">
      <c r="A91" s="23" t="s">
        <v>28</v>
      </c>
      <c r="B91" s="23"/>
      <c r="C91" s="23"/>
      <c r="D91" s="23"/>
    </row>
    <row r="92" spans="1:86" x14ac:dyDescent="0.25">
      <c r="A92" s="7">
        <f t="array" ref="A92:D99">[1]!'Program:CLNRM9_X10.Data_LeakTest[0,0],L32,C4'</f>
        <v>0</v>
      </c>
      <c r="B92" s="7">
        <v>0</v>
      </c>
      <c r="C92" s="7">
        <v>0</v>
      </c>
      <c r="D92" s="7">
        <v>0</v>
      </c>
      <c r="E92" s="2">
        <f t="array" ref="E92:CH92">[1]!'Program:CLNRM9_X10.Data_PartType_X10_Tester.String.DATA[0],L82,C82'</f>
        <v>88</v>
      </c>
      <c r="F92" s="2">
        <v>52</v>
      </c>
      <c r="G92" s="2">
        <v>53</v>
      </c>
      <c r="H92" s="2">
        <v>77</v>
      </c>
      <c r="I92" s="2">
        <v>86</v>
      </c>
      <c r="J92" s="2">
        <v>49</v>
      </c>
      <c r="K92" s="2">
        <v>53</v>
      </c>
      <c r="L92" s="2">
        <v>67</v>
      </c>
      <c r="M92" s="2">
        <v>78</v>
      </c>
      <c r="N92" s="2">
        <v>86</v>
      </c>
      <c r="O92" s="2">
        <v>45</v>
      </c>
      <c r="P92" s="2">
        <v>78</v>
      </c>
      <c r="Q92" s="2">
        <v>49</v>
      </c>
      <c r="R92" s="2">
        <v>50</v>
      </c>
      <c r="S92" s="2">
        <v>52</v>
      </c>
      <c r="T92" s="2">
        <v>54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>
        <v>0</v>
      </c>
      <c r="BK92" s="2">
        <v>0</v>
      </c>
      <c r="BL92" s="2">
        <v>0</v>
      </c>
      <c r="BM92" s="2">
        <v>0</v>
      </c>
      <c r="BN92" s="2">
        <v>0</v>
      </c>
      <c r="BO92" s="2">
        <v>0</v>
      </c>
      <c r="BP92" s="2">
        <v>0</v>
      </c>
      <c r="BQ92" s="2">
        <v>0</v>
      </c>
      <c r="BR92" s="2">
        <v>0</v>
      </c>
      <c r="BS92" s="2">
        <v>0</v>
      </c>
      <c r="BT92" s="2">
        <v>0</v>
      </c>
      <c r="BU92" s="2">
        <v>0</v>
      </c>
      <c r="BV92" s="2">
        <v>0</v>
      </c>
      <c r="BW92" s="2">
        <v>0</v>
      </c>
      <c r="BX92" s="2">
        <v>0</v>
      </c>
      <c r="BY92" s="2">
        <v>0</v>
      </c>
      <c r="BZ92" s="2">
        <v>0</v>
      </c>
      <c r="CA92" s="2">
        <v>0</v>
      </c>
      <c r="CB92" s="2">
        <v>0</v>
      </c>
      <c r="CC92" s="2">
        <v>0</v>
      </c>
      <c r="CD92" s="2">
        <v>0</v>
      </c>
      <c r="CE92" s="2">
        <v>0</v>
      </c>
      <c r="CF92" s="2">
        <v>0</v>
      </c>
      <c r="CG92" s="2">
        <v>0</v>
      </c>
      <c r="CH92" s="2">
        <v>0</v>
      </c>
    </row>
    <row r="93" spans="1:86" x14ac:dyDescent="0.25">
      <c r="A93" s="7">
        <v>4.2153330000000002</v>
      </c>
      <c r="B93" s="7">
        <v>4.1679069999999996</v>
      </c>
      <c r="C93" s="7">
        <v>-0.77578559999999996</v>
      </c>
      <c r="D93" s="7">
        <v>-0.83753999999999995</v>
      </c>
      <c r="E93" s="9" t="str">
        <f>IFERROR(IF(OR(E92=0,E92=13,E92= 10), "",CHAR(E92)), "")</f>
        <v>X</v>
      </c>
      <c r="F93" s="9" t="str">
        <f t="shared" ref="F93:BQ93" si="24">IFERROR(IF(OR(F92=0,F92=13,F92= 10), "",CHAR(F92)), "")</f>
        <v>4</v>
      </c>
      <c r="G93" s="9" t="str">
        <f t="shared" si="24"/>
        <v>5</v>
      </c>
      <c r="H93" s="9" t="str">
        <f t="shared" si="24"/>
        <v>M</v>
      </c>
      <c r="I93" s="9" t="str">
        <f t="shared" si="24"/>
        <v>V</v>
      </c>
      <c r="J93" s="9" t="str">
        <f t="shared" si="24"/>
        <v>1</v>
      </c>
      <c r="K93" s="9" t="str">
        <f t="shared" si="24"/>
        <v>5</v>
      </c>
      <c r="L93" s="9" t="str">
        <f t="shared" si="24"/>
        <v>C</v>
      </c>
      <c r="M93" s="9" t="str">
        <f t="shared" si="24"/>
        <v>N</v>
      </c>
      <c r="N93" s="9" t="str">
        <f t="shared" si="24"/>
        <v>V</v>
      </c>
      <c r="O93" s="9" t="str">
        <f t="shared" si="24"/>
        <v>-</v>
      </c>
      <c r="P93" s="9" t="str">
        <f t="shared" si="24"/>
        <v>N</v>
      </c>
      <c r="Q93" s="9" t="str">
        <f t="shared" si="24"/>
        <v>1</v>
      </c>
      <c r="R93" s="9" t="str">
        <f t="shared" si="24"/>
        <v>2</v>
      </c>
      <c r="S93" s="9" t="str">
        <f t="shared" si="24"/>
        <v>4</v>
      </c>
      <c r="T93" s="9" t="str">
        <f t="shared" si="24"/>
        <v>6</v>
      </c>
      <c r="U93" s="9" t="str">
        <f t="shared" si="24"/>
        <v/>
      </c>
      <c r="V93" s="9" t="str">
        <f t="shared" si="24"/>
        <v/>
      </c>
      <c r="W93" s="9" t="str">
        <f t="shared" si="24"/>
        <v/>
      </c>
      <c r="X93" s="9" t="str">
        <f t="shared" si="24"/>
        <v/>
      </c>
      <c r="Y93" s="9" t="str">
        <f t="shared" si="24"/>
        <v/>
      </c>
      <c r="Z93" s="9" t="str">
        <f t="shared" si="24"/>
        <v/>
      </c>
      <c r="AA93" s="9" t="str">
        <f t="shared" si="24"/>
        <v/>
      </c>
      <c r="AB93" s="9" t="str">
        <f t="shared" si="24"/>
        <v/>
      </c>
      <c r="AC93" s="9" t="str">
        <f t="shared" si="24"/>
        <v/>
      </c>
      <c r="AD93" s="9" t="str">
        <f t="shared" si="24"/>
        <v/>
      </c>
      <c r="AE93" s="9" t="str">
        <f t="shared" si="24"/>
        <v/>
      </c>
      <c r="AF93" s="9" t="str">
        <f t="shared" si="24"/>
        <v/>
      </c>
      <c r="AG93" s="9" t="str">
        <f t="shared" si="24"/>
        <v/>
      </c>
      <c r="AH93" s="9" t="str">
        <f t="shared" si="24"/>
        <v/>
      </c>
      <c r="AI93" s="9" t="str">
        <f t="shared" si="24"/>
        <v/>
      </c>
      <c r="AJ93" s="9" t="str">
        <f t="shared" si="24"/>
        <v/>
      </c>
      <c r="AK93" s="9" t="str">
        <f t="shared" si="24"/>
        <v/>
      </c>
      <c r="AL93" s="9" t="str">
        <f t="shared" si="24"/>
        <v/>
      </c>
      <c r="AM93" s="9" t="str">
        <f t="shared" si="24"/>
        <v/>
      </c>
      <c r="AN93" s="9" t="str">
        <f t="shared" si="24"/>
        <v/>
      </c>
      <c r="AO93" s="9" t="str">
        <f t="shared" si="24"/>
        <v/>
      </c>
      <c r="AP93" s="9" t="str">
        <f t="shared" si="24"/>
        <v/>
      </c>
      <c r="AQ93" s="9" t="str">
        <f t="shared" si="24"/>
        <v/>
      </c>
      <c r="AR93" s="9" t="str">
        <f t="shared" si="24"/>
        <v/>
      </c>
      <c r="AS93" s="9" t="str">
        <f t="shared" si="24"/>
        <v/>
      </c>
      <c r="AT93" s="9" t="str">
        <f t="shared" si="24"/>
        <v/>
      </c>
      <c r="AU93" s="9" t="str">
        <f t="shared" si="24"/>
        <v/>
      </c>
      <c r="AV93" s="9" t="str">
        <f t="shared" si="24"/>
        <v/>
      </c>
      <c r="AW93" s="9" t="str">
        <f t="shared" si="24"/>
        <v/>
      </c>
      <c r="AX93" s="9" t="str">
        <f t="shared" si="24"/>
        <v/>
      </c>
      <c r="AY93" s="9" t="str">
        <f t="shared" si="24"/>
        <v/>
      </c>
      <c r="AZ93" s="9" t="str">
        <f t="shared" si="24"/>
        <v/>
      </c>
      <c r="BA93" s="9" t="str">
        <f t="shared" si="24"/>
        <v/>
      </c>
      <c r="BB93" s="9" t="str">
        <f t="shared" si="24"/>
        <v/>
      </c>
      <c r="BC93" s="9" t="str">
        <f t="shared" si="24"/>
        <v/>
      </c>
      <c r="BD93" s="9" t="str">
        <f t="shared" si="24"/>
        <v/>
      </c>
      <c r="BE93" s="9" t="str">
        <f t="shared" si="24"/>
        <v/>
      </c>
      <c r="BF93" s="9" t="str">
        <f t="shared" si="24"/>
        <v/>
      </c>
      <c r="BG93" s="9" t="str">
        <f t="shared" si="24"/>
        <v/>
      </c>
      <c r="BH93" s="9" t="str">
        <f t="shared" si="24"/>
        <v/>
      </c>
      <c r="BI93" s="9" t="str">
        <f t="shared" si="24"/>
        <v/>
      </c>
      <c r="BJ93" s="9" t="str">
        <f t="shared" si="24"/>
        <v/>
      </c>
      <c r="BK93" s="9" t="str">
        <f t="shared" si="24"/>
        <v/>
      </c>
      <c r="BL93" s="9" t="str">
        <f t="shared" si="24"/>
        <v/>
      </c>
      <c r="BM93" s="9" t="str">
        <f t="shared" si="24"/>
        <v/>
      </c>
      <c r="BN93" s="9" t="str">
        <f t="shared" si="24"/>
        <v/>
      </c>
      <c r="BO93" s="9" t="str">
        <f t="shared" si="24"/>
        <v/>
      </c>
      <c r="BP93" s="9" t="str">
        <f t="shared" si="24"/>
        <v/>
      </c>
      <c r="BQ93" s="9" t="str">
        <f t="shared" si="24"/>
        <v/>
      </c>
      <c r="BR93" s="9" t="str">
        <f t="shared" ref="BR93:CH93" si="25">IFERROR(IF(OR(BR92=0,BR92=13,BR92= 10), "",CHAR(BR92)), "")</f>
        <v/>
      </c>
      <c r="BS93" s="9" t="str">
        <f t="shared" si="25"/>
        <v/>
      </c>
      <c r="BT93" s="9" t="str">
        <f t="shared" si="25"/>
        <v/>
      </c>
      <c r="BU93" s="9" t="str">
        <f t="shared" si="25"/>
        <v/>
      </c>
      <c r="BV93" s="9" t="str">
        <f t="shared" si="25"/>
        <v/>
      </c>
      <c r="BW93" s="9" t="str">
        <f t="shared" si="25"/>
        <v/>
      </c>
      <c r="BX93" s="9" t="str">
        <f t="shared" si="25"/>
        <v/>
      </c>
      <c r="BY93" s="9" t="str">
        <f t="shared" si="25"/>
        <v/>
      </c>
      <c r="BZ93" s="9" t="str">
        <f t="shared" si="25"/>
        <v/>
      </c>
      <c r="CA93" s="9" t="str">
        <f t="shared" si="25"/>
        <v/>
      </c>
      <c r="CB93" s="9" t="str">
        <f t="shared" si="25"/>
        <v/>
      </c>
      <c r="CC93" s="9" t="str">
        <f t="shared" si="25"/>
        <v/>
      </c>
      <c r="CD93" s="9" t="str">
        <f t="shared" si="25"/>
        <v/>
      </c>
      <c r="CE93" s="9" t="str">
        <f t="shared" si="25"/>
        <v/>
      </c>
      <c r="CF93" s="9" t="str">
        <f t="shared" si="25"/>
        <v/>
      </c>
      <c r="CG93" s="9" t="str">
        <f t="shared" si="25"/>
        <v/>
      </c>
      <c r="CH93" s="9" t="str">
        <f t="shared" si="25"/>
        <v/>
      </c>
    </row>
    <row r="94" spans="1:86" x14ac:dyDescent="0.25">
      <c r="A94" s="7">
        <v>0.73683909999999997</v>
      </c>
      <c r="B94" s="7">
        <v>0.44520280000000001</v>
      </c>
      <c r="C94" s="7">
        <v>0.88965309999999997</v>
      </c>
      <c r="D94" s="7">
        <v>0.83018360000000002</v>
      </c>
      <c r="E94" s="24" t="str">
        <f>CONCATENATE(E93,F93,G93,H93,I93,J93,K93,L93,M93,N93,O93,P93,Q93,R93,S93,T93)</f>
        <v>X45MV15CNV-N1246</v>
      </c>
      <c r="F94" s="25"/>
    </row>
    <row r="95" spans="1:86" x14ac:dyDescent="0.25">
      <c r="A95" s="7">
        <v>4.1842730000000001</v>
      </c>
      <c r="B95" s="7">
        <v>4.1493520000000004</v>
      </c>
      <c r="C95" s="7">
        <v>-0.76888380000000001</v>
      </c>
      <c r="D95" s="7">
        <v>-0.83058690000000002</v>
      </c>
    </row>
    <row r="96" spans="1:86" x14ac:dyDescent="0.25">
      <c r="A96" s="7">
        <v>-0.80476309999999995</v>
      </c>
      <c r="B96" s="7">
        <v>-0.78796299999999997</v>
      </c>
      <c r="C96" s="7">
        <v>4.2066749999999997</v>
      </c>
      <c r="D96" s="7">
        <v>4.1020899999999996</v>
      </c>
    </row>
    <row r="97" spans="1:4" x14ac:dyDescent="0.25">
      <c r="A97" s="7">
        <v>3.270311</v>
      </c>
      <c r="B97" s="7">
        <v>1.3955029999999999</v>
      </c>
      <c r="C97" s="7">
        <v>0.65262710000000002</v>
      </c>
      <c r="D97" s="7">
        <v>0.40848770000000001</v>
      </c>
    </row>
    <row r="98" spans="1:4" x14ac:dyDescent="0.25">
      <c r="A98" s="7">
        <v>-0.77844480000000005</v>
      </c>
      <c r="B98" s="7">
        <v>-0.77844480000000005</v>
      </c>
      <c r="C98" s="7">
        <v>4.1792210000000001</v>
      </c>
      <c r="D98" s="7">
        <v>4.0853330000000003</v>
      </c>
    </row>
    <row r="99" spans="1:4" x14ac:dyDescent="0.25">
      <c r="A99" s="7">
        <v>0</v>
      </c>
      <c r="B99" s="7">
        <v>0</v>
      </c>
      <c r="C99" s="7">
        <v>0</v>
      </c>
      <c r="D99" s="7">
        <v>0</v>
      </c>
    </row>
  </sheetData>
  <mergeCells count="20">
    <mergeCell ref="E54:F54"/>
    <mergeCell ref="E24:F24"/>
    <mergeCell ref="A1:D1"/>
    <mergeCell ref="A11:D11"/>
    <mergeCell ref="E4:F4"/>
    <mergeCell ref="E14:F14"/>
    <mergeCell ref="A21:D21"/>
    <mergeCell ref="A31:D31"/>
    <mergeCell ref="E34:F34"/>
    <mergeCell ref="A41:D41"/>
    <mergeCell ref="E44:F44"/>
    <mergeCell ref="A51:D51"/>
    <mergeCell ref="A81:D81"/>
    <mergeCell ref="A91:D91"/>
    <mergeCell ref="E94:F94"/>
    <mergeCell ref="A61:D61"/>
    <mergeCell ref="E64:F64"/>
    <mergeCell ref="A71:D71"/>
    <mergeCell ref="E74:F74"/>
    <mergeCell ref="E84:F8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86F19E2E-3BDC-4BF2-A15D-EBF20406743D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Live Data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Zylstra</dc:creator>
  <cp:lastModifiedBy>Jeff Aubertin</cp:lastModifiedBy>
  <dcterms:created xsi:type="dcterms:W3CDTF">2021-09-13T14:06:23Z</dcterms:created>
  <dcterms:modified xsi:type="dcterms:W3CDTF">2021-09-22T19:07:47Z</dcterms:modified>
</cp:coreProperties>
</file>